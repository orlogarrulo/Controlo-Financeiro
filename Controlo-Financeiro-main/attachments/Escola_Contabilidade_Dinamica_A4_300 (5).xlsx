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f44080f3793ef29/Desktop/CONTABILIDADE/"/>
    </mc:Choice>
  </mc:AlternateContent>
  <xr:revisionPtr revIDLastSave="15" documentId="13_ncr:1_{C4DF951B-0AF0-4305-9770-2FA801F45DD6}" xr6:coauthVersionLast="47" xr6:coauthVersionMax="47" xr10:uidLastSave="{31565B17-D4E4-49E1-A1CB-5840EB2FAD08}"/>
  <bookViews>
    <workbookView xWindow="-120" yWindow="-120" windowWidth="24240" windowHeight="13140" tabRatio="500" firstSheet="2" activeTab="2" xr2:uid="{00000000-000D-0000-FFFF-FFFF00000000}"/>
  </bookViews>
  <sheets>
    <sheet name="Dashboard" sheetId="1" r:id="rId1"/>
    <sheet name="Plano de Contas" sheetId="2" r:id="rId2"/>
    <sheet name="Controlo de Propinas" sheetId="3" r:id="rId3"/>
    <sheet name="Mensalidades" sheetId="4" r:id="rId4"/>
    <sheet name="Cadastro de Alunos" sheetId="5" r:id="rId5"/>
    <sheet name="Controlo de Manuais" sheetId="6" r:id="rId6"/>
    <sheet name="Lançamentos Contábeis" sheetId="7" r:id="rId7"/>
    <sheet name="Fluxo de Caixa" sheetId="8" r:id="rId8"/>
    <sheet name="DRE" sheetId="9" r:id="rId9"/>
    <sheet name="Balanço Patrimonial" sheetId="10" r:id="rId10"/>
    <sheet name="Relatórios" sheetId="11" r:id="rId11"/>
    <sheet name="Salários" sheetId="12" r:id="rId12"/>
    <sheet name="Recibos de Salário" sheetId="13" r:id="rId13"/>
    <sheet name="Adiantamentos" sheetId="14" r:id="rId14"/>
    <sheet name="Vales de Adiantamento" sheetId="15" r:id="rId15"/>
  </sheets>
  <definedNames>
    <definedName name="_xlnm.Print_Area" localSheetId="12">'Recibos de Salário'!$A$1:$F$35</definedName>
    <definedName name="_xlnm.Print_Area" localSheetId="14">'Vales de Adiantamento'!$A$1:$F$35</definedName>
    <definedName name="_xlnm.Print_Titles" localSheetId="13">Adiantamentos!$1:$3</definedName>
    <definedName name="_xlnm.Print_Titles" localSheetId="4">'Cadastro de Alunos'!$1:$3</definedName>
    <definedName name="_xlnm.Print_Titles" localSheetId="5">'Controlo de Manuais'!$4:$4</definedName>
    <definedName name="_xlnm.Print_Titles" localSheetId="2">'Controlo de Propinas'!$1:$3</definedName>
    <definedName name="_xlnm.Print_Titles" localSheetId="0">Dashboard!$1:$2</definedName>
    <definedName name="_xlnm.Print_Titles" localSheetId="6">'Lançamentos Contábeis'!$1:$3</definedName>
    <definedName name="_xlnm.Print_Titles" localSheetId="3">Mensalidades!$1:$2</definedName>
    <definedName name="_xlnm.Print_Titles" localSheetId="11">Salários!$1:$3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5" l="1"/>
  <c r="C18" i="15"/>
  <c r="B16" i="15"/>
  <c r="D15" i="15"/>
  <c r="B15" i="15"/>
  <c r="D14" i="15"/>
  <c r="B14" i="15"/>
  <c r="B13" i="15"/>
  <c r="D12" i="15"/>
  <c r="B12" i="15"/>
  <c r="B9" i="15"/>
  <c r="E51" i="14"/>
  <c r="J50" i="14"/>
  <c r="A50" i="14"/>
  <c r="J49" i="14"/>
  <c r="A49" i="14"/>
  <c r="J48" i="14"/>
  <c r="A48" i="14"/>
  <c r="J47" i="14"/>
  <c r="A47" i="14"/>
  <c r="J46" i="14"/>
  <c r="A46" i="14"/>
  <c r="J45" i="14"/>
  <c r="A45" i="14"/>
  <c r="J44" i="14"/>
  <c r="A44" i="14"/>
  <c r="J43" i="14"/>
  <c r="A43" i="14"/>
  <c r="J42" i="14"/>
  <c r="A42" i="14"/>
  <c r="J41" i="14"/>
  <c r="A41" i="14"/>
  <c r="J40" i="14"/>
  <c r="A40" i="14"/>
  <c r="J39" i="14"/>
  <c r="A39" i="14"/>
  <c r="J38" i="14"/>
  <c r="A38" i="14"/>
  <c r="J37" i="14"/>
  <c r="A37" i="14"/>
  <c r="J36" i="14"/>
  <c r="A36" i="14"/>
  <c r="J35" i="14"/>
  <c r="A35" i="14"/>
  <c r="J34" i="14"/>
  <c r="A34" i="14"/>
  <c r="J33" i="14"/>
  <c r="A33" i="14"/>
  <c r="J32" i="14"/>
  <c r="A32" i="14"/>
  <c r="J31" i="14"/>
  <c r="A31" i="14"/>
  <c r="J30" i="14"/>
  <c r="A30" i="14"/>
  <c r="J29" i="14"/>
  <c r="A29" i="14"/>
  <c r="J28" i="14"/>
  <c r="A28" i="14"/>
  <c r="J27" i="14"/>
  <c r="A27" i="14"/>
  <c r="J26" i="14"/>
  <c r="A26" i="14"/>
  <c r="J25" i="14"/>
  <c r="A25" i="14"/>
  <c r="J24" i="14"/>
  <c r="A24" i="14"/>
  <c r="J23" i="14"/>
  <c r="A23" i="14"/>
  <c r="J22" i="14"/>
  <c r="A22" i="14"/>
  <c r="J21" i="14"/>
  <c r="A21" i="14"/>
  <c r="J20" i="14"/>
  <c r="A20" i="14"/>
  <c r="J19" i="14"/>
  <c r="A19" i="14"/>
  <c r="J18" i="14"/>
  <c r="A18" i="14"/>
  <c r="J17" i="14"/>
  <c r="A17" i="14"/>
  <c r="J16" i="14"/>
  <c r="A16" i="14"/>
  <c r="J15" i="14"/>
  <c r="A15" i="14"/>
  <c r="J14" i="14"/>
  <c r="A14" i="14"/>
  <c r="J13" i="14"/>
  <c r="A13" i="14"/>
  <c r="J12" i="14"/>
  <c r="A12" i="14"/>
  <c r="J11" i="14"/>
  <c r="A11" i="14"/>
  <c r="J10" i="14"/>
  <c r="A10" i="14"/>
  <c r="J9" i="14"/>
  <c r="A9" i="14"/>
  <c r="J8" i="14"/>
  <c r="A8" i="14"/>
  <c r="J7" i="14"/>
  <c r="A7" i="14"/>
  <c r="J6" i="14"/>
  <c r="A6" i="14"/>
  <c r="J5" i="14"/>
  <c r="A5" i="14"/>
  <c r="C24" i="13"/>
  <c r="C21" i="13"/>
  <c r="C19" i="13"/>
  <c r="C18" i="13"/>
  <c r="C17" i="13"/>
  <c r="C16" i="13"/>
  <c r="E13" i="13"/>
  <c r="B13" i="13"/>
  <c r="D12" i="13"/>
  <c r="B12" i="13"/>
  <c r="D9" i="13"/>
  <c r="B9" i="13"/>
  <c r="J28" i="12"/>
  <c r="I28" i="12"/>
  <c r="D28" i="12"/>
  <c r="K27" i="12"/>
  <c r="H27" i="12"/>
  <c r="I27" i="12" s="1"/>
  <c r="K26" i="12"/>
  <c r="I26" i="12"/>
  <c r="H26" i="12"/>
  <c r="K25" i="12"/>
  <c r="I25" i="12"/>
  <c r="H25" i="12"/>
  <c r="I24" i="12"/>
  <c r="H24" i="12"/>
  <c r="J20" i="12"/>
  <c r="I20" i="12"/>
  <c r="D20" i="12"/>
  <c r="K19" i="12"/>
  <c r="H19" i="12"/>
  <c r="I19" i="12" s="1"/>
  <c r="K18" i="12"/>
  <c r="I18" i="12"/>
  <c r="H18" i="12"/>
  <c r="K17" i="12"/>
  <c r="K20" i="12" s="1"/>
  <c r="I17" i="12"/>
  <c r="H17" i="12"/>
  <c r="K16" i="12"/>
  <c r="I16" i="12"/>
  <c r="H16" i="12"/>
  <c r="J12" i="12"/>
  <c r="J30" i="12" s="1"/>
  <c r="D12" i="12"/>
  <c r="D30" i="12" s="1"/>
  <c r="K11" i="12"/>
  <c r="H11" i="12"/>
  <c r="I11" i="12" s="1"/>
  <c r="K10" i="12"/>
  <c r="I10" i="12"/>
  <c r="H10" i="12"/>
  <c r="K9" i="12"/>
  <c r="I9" i="12"/>
  <c r="H9" i="12"/>
  <c r="K8" i="12"/>
  <c r="I8" i="12"/>
  <c r="H8" i="12"/>
  <c r="K7" i="12"/>
  <c r="H7" i="12"/>
  <c r="I7" i="12" s="1"/>
  <c r="I12" i="12" s="1"/>
  <c r="K6" i="12"/>
  <c r="K12" i="12" s="1"/>
  <c r="I6" i="12"/>
  <c r="H6" i="12"/>
  <c r="B22" i="9"/>
  <c r="B19" i="9"/>
  <c r="B18" i="9"/>
  <c r="B17" i="9"/>
  <c r="B16" i="9"/>
  <c r="B15" i="9"/>
  <c r="B14" i="9"/>
  <c r="B13" i="9"/>
  <c r="B12" i="9"/>
  <c r="B11" i="9"/>
  <c r="B23" i="9" s="1"/>
  <c r="G10" i="8"/>
  <c r="E10" i="8"/>
  <c r="D10" i="8"/>
  <c r="F9" i="8"/>
  <c r="F8" i="8"/>
  <c r="F7" i="8"/>
  <c r="B6" i="8"/>
  <c r="C33" i="1" s="1"/>
  <c r="C5" i="8"/>
  <c r="C4" i="8"/>
  <c r="D31" i="1" s="1"/>
  <c r="E67" i="7"/>
  <c r="E47" i="7" s="1"/>
  <c r="E46" i="7"/>
  <c r="E34" i="7"/>
  <c r="E33" i="7"/>
  <c r="E32" i="7"/>
  <c r="E31" i="7"/>
  <c r="E30" i="7"/>
  <c r="E29" i="7"/>
  <c r="E28" i="7"/>
  <c r="E27" i="7"/>
  <c r="E26" i="7"/>
  <c r="E25" i="7"/>
  <c r="E40" i="7" s="1"/>
  <c r="G19" i="7"/>
  <c r="F19" i="7"/>
  <c r="D19" i="7"/>
  <c r="A19" i="7"/>
  <c r="G18" i="7"/>
  <c r="F18" i="7"/>
  <c r="D18" i="7"/>
  <c r="A18" i="7"/>
  <c r="G17" i="7"/>
  <c r="F17" i="7"/>
  <c r="D17" i="7"/>
  <c r="A17" i="7"/>
  <c r="G16" i="7"/>
  <c r="F16" i="7"/>
  <c r="D16" i="7"/>
  <c r="A16" i="7"/>
  <c r="G15" i="7"/>
  <c r="F15" i="7"/>
  <c r="D15" i="7"/>
  <c r="A15" i="7"/>
  <c r="G14" i="7"/>
  <c r="F14" i="7"/>
  <c r="D14" i="7"/>
  <c r="A14" i="7"/>
  <c r="G13" i="7"/>
  <c r="F13" i="7"/>
  <c r="D13" i="7"/>
  <c r="A13" i="7"/>
  <c r="G12" i="7"/>
  <c r="F12" i="7"/>
  <c r="D12" i="7"/>
  <c r="A12" i="7"/>
  <c r="G11" i="7"/>
  <c r="F11" i="7"/>
  <c r="D11" i="7"/>
  <c r="A11" i="7"/>
  <c r="G10" i="7"/>
  <c r="F10" i="7"/>
  <c r="D10" i="7"/>
  <c r="A10" i="7"/>
  <c r="G9" i="7"/>
  <c r="F9" i="7"/>
  <c r="D9" i="7"/>
  <c r="A9" i="7"/>
  <c r="G8" i="7"/>
  <c r="F8" i="7"/>
  <c r="D8" i="7"/>
  <c r="A8" i="7"/>
  <c r="G7" i="7"/>
  <c r="F7" i="7"/>
  <c r="E7" i="7"/>
  <c r="D7" i="7"/>
  <c r="A7" i="7"/>
  <c r="G6" i="7"/>
  <c r="F6" i="7"/>
  <c r="E6" i="7"/>
  <c r="D6" i="7"/>
  <c r="A6" i="7"/>
  <c r="L60" i="6"/>
  <c r="K60" i="6"/>
  <c r="F60" i="6"/>
  <c r="C60" i="6"/>
  <c r="L58" i="6"/>
  <c r="A58" i="6"/>
  <c r="L57" i="6"/>
  <c r="A57" i="6"/>
  <c r="L56" i="6"/>
  <c r="A56" i="6"/>
  <c r="L55" i="6"/>
  <c r="A55" i="6"/>
  <c r="L54" i="6"/>
  <c r="A54" i="6"/>
  <c r="L53" i="6"/>
  <c r="A53" i="6"/>
  <c r="L52" i="6"/>
  <c r="A52" i="6"/>
  <c r="L51" i="6"/>
  <c r="A51" i="6"/>
  <c r="L50" i="6"/>
  <c r="A50" i="6"/>
  <c r="L49" i="6"/>
  <c r="A49" i="6"/>
  <c r="L48" i="6"/>
  <c r="A48" i="6"/>
  <c r="L47" i="6"/>
  <c r="A47" i="6"/>
  <c r="L46" i="6"/>
  <c r="A46" i="6"/>
  <c r="L45" i="6"/>
  <c r="A45" i="6"/>
  <c r="L44" i="6"/>
  <c r="A44" i="6"/>
  <c r="K33" i="6"/>
  <c r="D33" i="6"/>
  <c r="K30" i="6"/>
  <c r="J30" i="6"/>
  <c r="D30" i="6"/>
  <c r="L30" i="6" s="1"/>
  <c r="L33" i="6" s="1"/>
  <c r="C30" i="6"/>
  <c r="B30" i="6"/>
  <c r="B33" i="6" s="1"/>
  <c r="K24" i="6"/>
  <c r="D24" i="6"/>
  <c r="C24" i="6"/>
  <c r="B24" i="6"/>
  <c r="K23" i="6"/>
  <c r="J23" i="6"/>
  <c r="D23" i="6"/>
  <c r="L23" i="6" s="1"/>
  <c r="C23" i="6"/>
  <c r="B23" i="6"/>
  <c r="L22" i="6"/>
  <c r="J22" i="6"/>
  <c r="D22" i="6"/>
  <c r="K22" i="6" s="1"/>
  <c r="C22" i="6"/>
  <c r="B22" i="6"/>
  <c r="L21" i="6"/>
  <c r="K21" i="6"/>
  <c r="K26" i="6" s="1"/>
  <c r="K35" i="6" s="1"/>
  <c r="K62" i="6" s="1"/>
  <c r="J21" i="6"/>
  <c r="D21" i="6"/>
  <c r="C21" i="6"/>
  <c r="B21" i="6"/>
  <c r="B26" i="6" s="1"/>
  <c r="B17" i="6"/>
  <c r="J15" i="6"/>
  <c r="K14" i="6"/>
  <c r="J14" i="6"/>
  <c r="D14" i="6"/>
  <c r="L14" i="6" s="1"/>
  <c r="C14" i="6"/>
  <c r="B14" i="6"/>
  <c r="L13" i="6"/>
  <c r="K13" i="6"/>
  <c r="J13" i="6"/>
  <c r="D13" i="6"/>
  <c r="C13" i="6"/>
  <c r="B13" i="6"/>
  <c r="K12" i="6"/>
  <c r="J12" i="6"/>
  <c r="D12" i="6"/>
  <c r="L12" i="6" s="1"/>
  <c r="C12" i="6"/>
  <c r="B12" i="6"/>
  <c r="L11" i="6"/>
  <c r="K11" i="6"/>
  <c r="J11" i="6"/>
  <c r="D11" i="6"/>
  <c r="C11" i="6"/>
  <c r="B11" i="6"/>
  <c r="K10" i="6"/>
  <c r="J10" i="6"/>
  <c r="D10" i="6"/>
  <c r="L10" i="6" s="1"/>
  <c r="C10" i="6"/>
  <c r="B10" i="6"/>
  <c r="L9" i="6"/>
  <c r="K9" i="6"/>
  <c r="J9" i="6"/>
  <c r="D9" i="6"/>
  <c r="C9" i="6"/>
  <c r="B9" i="6"/>
  <c r="K8" i="6"/>
  <c r="J8" i="6"/>
  <c r="D8" i="6"/>
  <c r="L8" i="6" s="1"/>
  <c r="C8" i="6"/>
  <c r="B8" i="6"/>
  <c r="L7" i="6"/>
  <c r="K7" i="6"/>
  <c r="K17" i="6" s="1"/>
  <c r="J7" i="6"/>
  <c r="D7" i="6"/>
  <c r="C7" i="6"/>
  <c r="B7" i="6"/>
  <c r="K6" i="6"/>
  <c r="J6" i="6"/>
  <c r="D6" i="6"/>
  <c r="L6" i="6" s="1"/>
  <c r="C6" i="6"/>
  <c r="B6" i="6"/>
  <c r="G293" i="5"/>
  <c r="F293" i="5"/>
  <c r="C293" i="5"/>
  <c r="B293" i="5"/>
  <c r="A293" i="5"/>
  <c r="F292" i="5"/>
  <c r="C292" i="5"/>
  <c r="B292" i="5"/>
  <c r="A292" i="5"/>
  <c r="F291" i="5"/>
  <c r="C291" i="5"/>
  <c r="B291" i="5"/>
  <c r="A291" i="5"/>
  <c r="G290" i="5"/>
  <c r="F290" i="5"/>
  <c r="C290" i="5"/>
  <c r="B290" i="5"/>
  <c r="A290" i="5"/>
  <c r="G289" i="5"/>
  <c r="F289" i="5"/>
  <c r="C289" i="5"/>
  <c r="B289" i="5"/>
  <c r="A289" i="5"/>
  <c r="G288" i="5"/>
  <c r="F288" i="5"/>
  <c r="C288" i="5"/>
  <c r="B288" i="5"/>
  <c r="A288" i="5"/>
  <c r="G287" i="5"/>
  <c r="F287" i="5"/>
  <c r="C287" i="5"/>
  <c r="B287" i="5"/>
  <c r="A287" i="5"/>
  <c r="G286" i="5"/>
  <c r="F286" i="5"/>
  <c r="C286" i="5"/>
  <c r="B286" i="5"/>
  <c r="A286" i="5"/>
  <c r="F285" i="5"/>
  <c r="C285" i="5"/>
  <c r="B285" i="5"/>
  <c r="A285" i="5"/>
  <c r="F284" i="5"/>
  <c r="C284" i="5"/>
  <c r="B284" i="5"/>
  <c r="A284" i="5"/>
  <c r="F283" i="5"/>
  <c r="C283" i="5"/>
  <c r="B283" i="5"/>
  <c r="A283" i="5"/>
  <c r="G282" i="5"/>
  <c r="F282" i="5"/>
  <c r="C282" i="5"/>
  <c r="B282" i="5"/>
  <c r="A282" i="5"/>
  <c r="F281" i="5"/>
  <c r="C281" i="5"/>
  <c r="B281" i="5"/>
  <c r="A281" i="5"/>
  <c r="F280" i="5"/>
  <c r="C280" i="5"/>
  <c r="B280" i="5"/>
  <c r="A280" i="5"/>
  <c r="F279" i="5"/>
  <c r="C279" i="5"/>
  <c r="B279" i="5"/>
  <c r="A279" i="5"/>
  <c r="G278" i="5"/>
  <c r="F278" i="5"/>
  <c r="C278" i="5"/>
  <c r="B278" i="5"/>
  <c r="A278" i="5"/>
  <c r="F277" i="5"/>
  <c r="C277" i="5"/>
  <c r="B277" i="5"/>
  <c r="A277" i="5"/>
  <c r="F276" i="5"/>
  <c r="C276" i="5"/>
  <c r="B276" i="5"/>
  <c r="A276" i="5"/>
  <c r="F275" i="5"/>
  <c r="C275" i="5"/>
  <c r="B275" i="5"/>
  <c r="A275" i="5"/>
  <c r="G274" i="5"/>
  <c r="F274" i="5"/>
  <c r="C274" i="5"/>
  <c r="B274" i="5"/>
  <c r="A274" i="5"/>
  <c r="F273" i="5"/>
  <c r="C273" i="5"/>
  <c r="B273" i="5"/>
  <c r="A273" i="5"/>
  <c r="F272" i="5"/>
  <c r="C272" i="5"/>
  <c r="B272" i="5"/>
  <c r="A272" i="5"/>
  <c r="F271" i="5"/>
  <c r="C271" i="5"/>
  <c r="B271" i="5"/>
  <c r="A271" i="5"/>
  <c r="G270" i="5"/>
  <c r="F270" i="5"/>
  <c r="C270" i="5"/>
  <c r="B270" i="5"/>
  <c r="A270" i="5"/>
  <c r="F269" i="5"/>
  <c r="C269" i="5"/>
  <c r="B269" i="5"/>
  <c r="A269" i="5"/>
  <c r="F268" i="5"/>
  <c r="C268" i="5"/>
  <c r="B268" i="5"/>
  <c r="A268" i="5"/>
  <c r="F267" i="5"/>
  <c r="C267" i="5"/>
  <c r="B267" i="5"/>
  <c r="A267" i="5"/>
  <c r="G266" i="5"/>
  <c r="F266" i="5"/>
  <c r="C266" i="5"/>
  <c r="B266" i="5"/>
  <c r="A266" i="5"/>
  <c r="F265" i="5"/>
  <c r="C265" i="5"/>
  <c r="B265" i="5"/>
  <c r="A265" i="5"/>
  <c r="F264" i="5"/>
  <c r="C264" i="5"/>
  <c r="B264" i="5"/>
  <c r="A264" i="5"/>
  <c r="F263" i="5"/>
  <c r="C263" i="5"/>
  <c r="B263" i="5"/>
  <c r="A263" i="5"/>
  <c r="G262" i="5"/>
  <c r="F262" i="5"/>
  <c r="C262" i="5"/>
  <c r="B262" i="5"/>
  <c r="A262" i="5"/>
  <c r="F261" i="5"/>
  <c r="C261" i="5"/>
  <c r="B261" i="5"/>
  <c r="A261" i="5"/>
  <c r="F260" i="5"/>
  <c r="C260" i="5"/>
  <c r="B260" i="5"/>
  <c r="A260" i="5"/>
  <c r="F259" i="5"/>
  <c r="C259" i="5"/>
  <c r="B259" i="5"/>
  <c r="A259" i="5"/>
  <c r="G258" i="5"/>
  <c r="F258" i="5"/>
  <c r="C258" i="5"/>
  <c r="B258" i="5"/>
  <c r="A258" i="5"/>
  <c r="F257" i="5"/>
  <c r="C257" i="5"/>
  <c r="B257" i="5"/>
  <c r="A257" i="5"/>
  <c r="F256" i="5"/>
  <c r="C256" i="5"/>
  <c r="G292" i="5" s="1"/>
  <c r="B256" i="5"/>
  <c r="A256" i="5"/>
  <c r="F255" i="5"/>
  <c r="C255" i="5"/>
  <c r="G291" i="5" s="1"/>
  <c r="B255" i="5"/>
  <c r="A255" i="5"/>
  <c r="G254" i="5"/>
  <c r="F254" i="5"/>
  <c r="C254" i="5"/>
  <c r="B254" i="5"/>
  <c r="A254" i="5"/>
  <c r="F249" i="5"/>
  <c r="C249" i="5"/>
  <c r="G285" i="5" s="1"/>
  <c r="B249" i="5"/>
  <c r="A249" i="5"/>
  <c r="F248" i="5"/>
  <c r="C248" i="5"/>
  <c r="G284" i="5" s="1"/>
  <c r="B248" i="5"/>
  <c r="A248" i="5"/>
  <c r="G247" i="5"/>
  <c r="F247" i="5"/>
  <c r="C247" i="5"/>
  <c r="G283" i="5" s="1"/>
  <c r="B247" i="5"/>
  <c r="A247" i="5"/>
  <c r="G246" i="5"/>
  <c r="F246" i="5"/>
  <c r="C246" i="5"/>
  <c r="B246" i="5"/>
  <c r="A246" i="5"/>
  <c r="G245" i="5"/>
  <c r="F245" i="5"/>
  <c r="C245" i="5"/>
  <c r="G281" i="5" s="1"/>
  <c r="B245" i="5"/>
  <c r="A245" i="5"/>
  <c r="G244" i="5"/>
  <c r="F244" i="5"/>
  <c r="C244" i="5"/>
  <c r="G280" i="5" s="1"/>
  <c r="B244" i="5"/>
  <c r="A244" i="5"/>
  <c r="G243" i="5"/>
  <c r="F243" i="5"/>
  <c r="C243" i="5"/>
  <c r="G279" i="5" s="1"/>
  <c r="B243" i="5"/>
  <c r="A243" i="5"/>
  <c r="G242" i="5"/>
  <c r="F242" i="5"/>
  <c r="C242" i="5"/>
  <c r="B242" i="5"/>
  <c r="A242" i="5"/>
  <c r="G241" i="5"/>
  <c r="F241" i="5"/>
  <c r="C241" i="5"/>
  <c r="G277" i="5" s="1"/>
  <c r="B241" i="5"/>
  <c r="A241" i="5"/>
  <c r="F240" i="5"/>
  <c r="C240" i="5"/>
  <c r="G276" i="5" s="1"/>
  <c r="B240" i="5"/>
  <c r="A240" i="5"/>
  <c r="G239" i="5"/>
  <c r="F239" i="5"/>
  <c r="C239" i="5"/>
  <c r="G275" i="5" s="1"/>
  <c r="B239" i="5"/>
  <c r="A239" i="5"/>
  <c r="F238" i="5"/>
  <c r="C238" i="5"/>
  <c r="B238" i="5"/>
  <c r="A238" i="5"/>
  <c r="G237" i="5"/>
  <c r="F237" i="5"/>
  <c r="C237" i="5"/>
  <c r="G273" i="5" s="1"/>
  <c r="B237" i="5"/>
  <c r="A237" i="5"/>
  <c r="F236" i="5"/>
  <c r="C236" i="5"/>
  <c r="G272" i="5" s="1"/>
  <c r="B236" i="5"/>
  <c r="A236" i="5"/>
  <c r="G235" i="5"/>
  <c r="F235" i="5"/>
  <c r="C235" i="5"/>
  <c r="G271" i="5" s="1"/>
  <c r="B235" i="5"/>
  <c r="A235" i="5"/>
  <c r="F234" i="5"/>
  <c r="C234" i="5"/>
  <c r="B234" i="5"/>
  <c r="A234" i="5"/>
  <c r="G233" i="5"/>
  <c r="F233" i="5"/>
  <c r="C233" i="5"/>
  <c r="G269" i="5" s="1"/>
  <c r="B233" i="5"/>
  <c r="A233" i="5"/>
  <c r="F232" i="5"/>
  <c r="C232" i="5"/>
  <c r="G268" i="5" s="1"/>
  <c r="B232" i="5"/>
  <c r="A232" i="5"/>
  <c r="G231" i="5"/>
  <c r="F231" i="5"/>
  <c r="C231" i="5"/>
  <c r="G267" i="5" s="1"/>
  <c r="B231" i="5"/>
  <c r="A231" i="5"/>
  <c r="F230" i="5"/>
  <c r="C230" i="5"/>
  <c r="B230" i="5"/>
  <c r="A230" i="5"/>
  <c r="G229" i="5"/>
  <c r="F229" i="5"/>
  <c r="C229" i="5"/>
  <c r="G265" i="5" s="1"/>
  <c r="B229" i="5"/>
  <c r="A229" i="5"/>
  <c r="F228" i="5"/>
  <c r="C228" i="5"/>
  <c r="G264" i="5" s="1"/>
  <c r="B228" i="5"/>
  <c r="A228" i="5"/>
  <c r="G227" i="5"/>
  <c r="F227" i="5"/>
  <c r="C227" i="5"/>
  <c r="G263" i="5" s="1"/>
  <c r="B227" i="5"/>
  <c r="A227" i="5"/>
  <c r="G226" i="5"/>
  <c r="F226" i="5"/>
  <c r="C226" i="5"/>
  <c r="B226" i="5"/>
  <c r="A226" i="5"/>
  <c r="G225" i="5"/>
  <c r="F225" i="5"/>
  <c r="C225" i="5"/>
  <c r="G261" i="5" s="1"/>
  <c r="B225" i="5"/>
  <c r="A225" i="5"/>
  <c r="G224" i="5"/>
  <c r="F224" i="5"/>
  <c r="C224" i="5"/>
  <c r="G260" i="5" s="1"/>
  <c r="B224" i="5"/>
  <c r="A224" i="5"/>
  <c r="F223" i="5"/>
  <c r="C223" i="5"/>
  <c r="G259" i="5" s="1"/>
  <c r="B223" i="5"/>
  <c r="A223" i="5"/>
  <c r="F222" i="5"/>
  <c r="C222" i="5"/>
  <c r="B222" i="5"/>
  <c r="A222" i="5"/>
  <c r="F221" i="5"/>
  <c r="C221" i="5"/>
  <c r="G257" i="5" s="1"/>
  <c r="B221" i="5"/>
  <c r="A221" i="5"/>
  <c r="F220" i="5"/>
  <c r="C220" i="5"/>
  <c r="G256" i="5" s="1"/>
  <c r="B220" i="5"/>
  <c r="A220" i="5"/>
  <c r="F219" i="5"/>
  <c r="C219" i="5"/>
  <c r="G255" i="5" s="1"/>
  <c r="B219" i="5"/>
  <c r="A219" i="5"/>
  <c r="F218" i="5"/>
  <c r="C218" i="5"/>
  <c r="B218" i="5"/>
  <c r="A218" i="5"/>
  <c r="F217" i="5"/>
  <c r="C217" i="5"/>
  <c r="B217" i="5"/>
  <c r="A217" i="5"/>
  <c r="A216" i="5"/>
  <c r="F215" i="5"/>
  <c r="C215" i="5"/>
  <c r="B215" i="5"/>
  <c r="A215" i="5"/>
  <c r="F214" i="5"/>
  <c r="C214" i="5"/>
  <c r="B214" i="5"/>
  <c r="A214" i="5"/>
  <c r="F213" i="5"/>
  <c r="C213" i="5"/>
  <c r="G249" i="5" s="1"/>
  <c r="B213" i="5"/>
  <c r="A213" i="5"/>
  <c r="F212" i="5"/>
  <c r="C212" i="5"/>
  <c r="G248" i="5" s="1"/>
  <c r="B212" i="5"/>
  <c r="A212" i="5"/>
  <c r="F211" i="5"/>
  <c r="C211" i="5"/>
  <c r="B211" i="5"/>
  <c r="A211" i="5"/>
  <c r="F210" i="5"/>
  <c r="C210" i="5"/>
  <c r="B210" i="5"/>
  <c r="A210" i="5"/>
  <c r="C205" i="5"/>
  <c r="B205" i="5"/>
  <c r="A205" i="5"/>
  <c r="C204" i="5"/>
  <c r="G240" i="5" s="1"/>
  <c r="B204" i="5"/>
  <c r="A204" i="5"/>
  <c r="C203" i="5"/>
  <c r="B203" i="5"/>
  <c r="A203" i="5"/>
  <c r="C202" i="5"/>
  <c r="G238" i="5" s="1"/>
  <c r="B202" i="5"/>
  <c r="A202" i="5"/>
  <c r="C201" i="5"/>
  <c r="B201" i="5"/>
  <c r="A201" i="5"/>
  <c r="C200" i="5"/>
  <c r="G236" i="5" s="1"/>
  <c r="B200" i="5"/>
  <c r="A200" i="5"/>
  <c r="C199" i="5"/>
  <c r="B199" i="5"/>
  <c r="A199" i="5"/>
  <c r="C198" i="5"/>
  <c r="G234" i="5" s="1"/>
  <c r="B198" i="5"/>
  <c r="A198" i="5"/>
  <c r="C197" i="5"/>
  <c r="B197" i="5"/>
  <c r="A197" i="5"/>
  <c r="C196" i="5"/>
  <c r="G232" i="5" s="1"/>
  <c r="B196" i="5"/>
  <c r="A196" i="5"/>
  <c r="C195" i="5"/>
  <c r="B195" i="5"/>
  <c r="A195" i="5"/>
  <c r="C194" i="5"/>
  <c r="G230" i="5" s="1"/>
  <c r="B194" i="5"/>
  <c r="A194" i="5"/>
  <c r="C193" i="5"/>
  <c r="B193" i="5"/>
  <c r="B206" i="5" s="1"/>
  <c r="A193" i="5"/>
  <c r="C192" i="5"/>
  <c r="G228" i="5" s="1"/>
  <c r="B192" i="5"/>
  <c r="A192" i="5"/>
  <c r="F187" i="5"/>
  <c r="C187" i="5"/>
  <c r="G223" i="5" s="1"/>
  <c r="B187" i="5"/>
  <c r="A187" i="5"/>
  <c r="F186" i="5"/>
  <c r="C186" i="5"/>
  <c r="G222" i="5" s="1"/>
  <c r="B186" i="5"/>
  <c r="A186" i="5"/>
  <c r="F185" i="5"/>
  <c r="C185" i="5"/>
  <c r="G221" i="5" s="1"/>
  <c r="B185" i="5"/>
  <c r="A185" i="5"/>
  <c r="F184" i="5"/>
  <c r="C184" i="5"/>
  <c r="G220" i="5" s="1"/>
  <c r="B184" i="5"/>
  <c r="A184" i="5"/>
  <c r="F183" i="5"/>
  <c r="C183" i="5"/>
  <c r="G219" i="5" s="1"/>
  <c r="B183" i="5"/>
  <c r="A183" i="5"/>
  <c r="F182" i="5"/>
  <c r="C182" i="5"/>
  <c r="G218" i="5" s="1"/>
  <c r="B182" i="5"/>
  <c r="A182" i="5"/>
  <c r="G181" i="5"/>
  <c r="F181" i="5"/>
  <c r="C181" i="5"/>
  <c r="G217" i="5" s="1"/>
  <c r="B181" i="5"/>
  <c r="A181" i="5"/>
  <c r="F180" i="5"/>
  <c r="C180" i="5"/>
  <c r="B180" i="5"/>
  <c r="A180" i="5"/>
  <c r="F179" i="5"/>
  <c r="C179" i="5"/>
  <c r="G215" i="5" s="1"/>
  <c r="B179" i="5"/>
  <c r="A179" i="5"/>
  <c r="F178" i="5"/>
  <c r="C178" i="5"/>
  <c r="G214" i="5" s="1"/>
  <c r="B178" i="5"/>
  <c r="A178" i="5"/>
  <c r="F177" i="5"/>
  <c r="C177" i="5"/>
  <c r="G213" i="5" s="1"/>
  <c r="B177" i="5"/>
  <c r="A177" i="5"/>
  <c r="F176" i="5"/>
  <c r="C176" i="5"/>
  <c r="G212" i="5" s="1"/>
  <c r="B176" i="5"/>
  <c r="A176" i="5"/>
  <c r="F175" i="5"/>
  <c r="C175" i="5"/>
  <c r="G211" i="5" s="1"/>
  <c r="B175" i="5"/>
  <c r="A175" i="5"/>
  <c r="F174" i="5"/>
  <c r="C174" i="5"/>
  <c r="G210" i="5" s="1"/>
  <c r="B174" i="5"/>
  <c r="A174" i="5"/>
  <c r="F173" i="5"/>
  <c r="C173" i="5"/>
  <c r="B173" i="5"/>
  <c r="A173" i="5"/>
  <c r="A172" i="5"/>
  <c r="F171" i="5"/>
  <c r="C171" i="5"/>
  <c r="B171" i="5"/>
  <c r="A171" i="5"/>
  <c r="F170" i="5"/>
  <c r="C170" i="5"/>
  <c r="B170" i="5"/>
  <c r="A170" i="5"/>
  <c r="G169" i="5"/>
  <c r="F169" i="5"/>
  <c r="C169" i="5"/>
  <c r="G187" i="5" s="1"/>
  <c r="B169" i="5"/>
  <c r="A169" i="5"/>
  <c r="G168" i="5"/>
  <c r="F168" i="5"/>
  <c r="C168" i="5"/>
  <c r="G186" i="5" s="1"/>
  <c r="B168" i="5"/>
  <c r="A168" i="5"/>
  <c r="F167" i="5"/>
  <c r="C167" i="5"/>
  <c r="G185" i="5" s="1"/>
  <c r="B167" i="5"/>
  <c r="A167" i="5"/>
  <c r="F166" i="5"/>
  <c r="C166" i="5"/>
  <c r="G184" i="5" s="1"/>
  <c r="B166" i="5"/>
  <c r="A166" i="5"/>
  <c r="F165" i="5"/>
  <c r="C165" i="5"/>
  <c r="G183" i="5" s="1"/>
  <c r="B165" i="5"/>
  <c r="A165" i="5"/>
  <c r="G164" i="5"/>
  <c r="F164" i="5"/>
  <c r="C164" i="5"/>
  <c r="G182" i="5" s="1"/>
  <c r="B164" i="5"/>
  <c r="A164" i="5"/>
  <c r="F163" i="5"/>
  <c r="C163" i="5"/>
  <c r="B163" i="5"/>
  <c r="A163" i="5"/>
  <c r="F162" i="5"/>
  <c r="C162" i="5"/>
  <c r="G180" i="5" s="1"/>
  <c r="B162" i="5"/>
  <c r="A162" i="5"/>
  <c r="F161" i="5"/>
  <c r="C161" i="5"/>
  <c r="G179" i="5" s="1"/>
  <c r="B161" i="5"/>
  <c r="A161" i="5"/>
  <c r="F160" i="5"/>
  <c r="C160" i="5"/>
  <c r="G178" i="5" s="1"/>
  <c r="B160" i="5"/>
  <c r="A160" i="5"/>
  <c r="F159" i="5"/>
  <c r="C159" i="5"/>
  <c r="G177" i="5" s="1"/>
  <c r="B159" i="5"/>
  <c r="A159" i="5"/>
  <c r="F158" i="5"/>
  <c r="C158" i="5"/>
  <c r="G176" i="5" s="1"/>
  <c r="B158" i="5"/>
  <c r="A158" i="5"/>
  <c r="G157" i="5"/>
  <c r="F157" i="5"/>
  <c r="C157" i="5"/>
  <c r="G175" i="5" s="1"/>
  <c r="B157" i="5"/>
  <c r="A157" i="5"/>
  <c r="F156" i="5"/>
  <c r="C156" i="5"/>
  <c r="G174" i="5" s="1"/>
  <c r="B156" i="5"/>
  <c r="A156" i="5"/>
  <c r="F155" i="5"/>
  <c r="C155" i="5"/>
  <c r="G173" i="5" s="1"/>
  <c r="B155" i="5"/>
  <c r="A155" i="5"/>
  <c r="F154" i="5"/>
  <c r="C154" i="5"/>
  <c r="B154" i="5"/>
  <c r="A154" i="5"/>
  <c r="F153" i="5"/>
  <c r="C153" i="5"/>
  <c r="G171" i="5" s="1"/>
  <c r="B153" i="5"/>
  <c r="A153" i="5"/>
  <c r="G152" i="5"/>
  <c r="F152" i="5"/>
  <c r="C152" i="5"/>
  <c r="G170" i="5" s="1"/>
  <c r="B152" i="5"/>
  <c r="A152" i="5"/>
  <c r="F151" i="5"/>
  <c r="C151" i="5"/>
  <c r="B151" i="5"/>
  <c r="A151" i="5"/>
  <c r="F150" i="5"/>
  <c r="C150" i="5"/>
  <c r="B150" i="5"/>
  <c r="A150" i="5"/>
  <c r="G149" i="5"/>
  <c r="F149" i="5"/>
  <c r="C149" i="5"/>
  <c r="G167" i="5" s="1"/>
  <c r="B149" i="5"/>
  <c r="A149" i="5"/>
  <c r="F148" i="5"/>
  <c r="C148" i="5"/>
  <c r="G166" i="5" s="1"/>
  <c r="B148" i="5"/>
  <c r="A148" i="5"/>
  <c r="G147" i="5"/>
  <c r="F147" i="5"/>
  <c r="C147" i="5"/>
  <c r="G165" i="5" s="1"/>
  <c r="B147" i="5"/>
  <c r="A147" i="5"/>
  <c r="F146" i="5"/>
  <c r="C146" i="5"/>
  <c r="B146" i="5"/>
  <c r="A146" i="5"/>
  <c r="G145" i="5"/>
  <c r="F145" i="5"/>
  <c r="C145" i="5"/>
  <c r="G163" i="5" s="1"/>
  <c r="B145" i="5"/>
  <c r="A145" i="5"/>
  <c r="G144" i="5"/>
  <c r="F144" i="5"/>
  <c r="C144" i="5"/>
  <c r="G162" i="5" s="1"/>
  <c r="B144" i="5"/>
  <c r="A144" i="5"/>
  <c r="G143" i="5"/>
  <c r="F143" i="5"/>
  <c r="C143" i="5"/>
  <c r="G161" i="5" s="1"/>
  <c r="B143" i="5"/>
  <c r="A143" i="5"/>
  <c r="G142" i="5"/>
  <c r="F142" i="5"/>
  <c r="C142" i="5"/>
  <c r="G160" i="5" s="1"/>
  <c r="B142" i="5"/>
  <c r="A142" i="5"/>
  <c r="G141" i="5"/>
  <c r="F141" i="5"/>
  <c r="C141" i="5"/>
  <c r="G159" i="5" s="1"/>
  <c r="B141" i="5"/>
  <c r="A141" i="5"/>
  <c r="F140" i="5"/>
  <c r="C140" i="5"/>
  <c r="G158" i="5" s="1"/>
  <c r="B140" i="5"/>
  <c r="A140" i="5"/>
  <c r="F139" i="5"/>
  <c r="C139" i="5"/>
  <c r="B139" i="5"/>
  <c r="A139" i="5"/>
  <c r="F138" i="5"/>
  <c r="C138" i="5"/>
  <c r="G156" i="5" s="1"/>
  <c r="B138" i="5"/>
  <c r="A138" i="5"/>
  <c r="G137" i="5"/>
  <c r="F137" i="5"/>
  <c r="C137" i="5"/>
  <c r="G155" i="5" s="1"/>
  <c r="B137" i="5"/>
  <c r="A137" i="5"/>
  <c r="F136" i="5"/>
  <c r="C136" i="5"/>
  <c r="G154" i="5" s="1"/>
  <c r="B136" i="5"/>
  <c r="A136" i="5"/>
  <c r="G135" i="5"/>
  <c r="F135" i="5"/>
  <c r="C135" i="5"/>
  <c r="G153" i="5" s="1"/>
  <c r="B135" i="5"/>
  <c r="A135" i="5"/>
  <c r="F134" i="5"/>
  <c r="C134" i="5"/>
  <c r="B134" i="5"/>
  <c r="A134" i="5"/>
  <c r="G133" i="5"/>
  <c r="F133" i="5"/>
  <c r="C133" i="5"/>
  <c r="G151" i="5" s="1"/>
  <c r="B133" i="5"/>
  <c r="A133" i="5"/>
  <c r="F132" i="5"/>
  <c r="C132" i="5"/>
  <c r="G150" i="5" s="1"/>
  <c r="B132" i="5"/>
  <c r="A132" i="5"/>
  <c r="G131" i="5"/>
  <c r="F131" i="5"/>
  <c r="C131" i="5"/>
  <c r="B131" i="5"/>
  <c r="A131" i="5"/>
  <c r="F130" i="5"/>
  <c r="C130" i="5"/>
  <c r="G148" i="5" s="1"/>
  <c r="B130" i="5"/>
  <c r="A130" i="5"/>
  <c r="G129" i="5"/>
  <c r="F129" i="5"/>
  <c r="C129" i="5"/>
  <c r="B129" i="5"/>
  <c r="A129" i="5"/>
  <c r="F128" i="5"/>
  <c r="C128" i="5"/>
  <c r="G146" i="5" s="1"/>
  <c r="B128" i="5"/>
  <c r="A128" i="5"/>
  <c r="C123" i="5"/>
  <c r="B123" i="5"/>
  <c r="A123" i="5"/>
  <c r="C122" i="5"/>
  <c r="G140" i="5" s="1"/>
  <c r="B122" i="5"/>
  <c r="A122" i="5"/>
  <c r="C121" i="5"/>
  <c r="G139" i="5" s="1"/>
  <c r="B121" i="5"/>
  <c r="A121" i="5"/>
  <c r="C120" i="5"/>
  <c r="G138" i="5" s="1"/>
  <c r="B120" i="5"/>
  <c r="A120" i="5"/>
  <c r="C119" i="5"/>
  <c r="B119" i="5"/>
  <c r="A119" i="5"/>
  <c r="C118" i="5"/>
  <c r="G136" i="5" s="1"/>
  <c r="B118" i="5"/>
  <c r="A118" i="5"/>
  <c r="C117" i="5"/>
  <c r="B117" i="5"/>
  <c r="A117" i="5"/>
  <c r="C116" i="5"/>
  <c r="G134" i="5" s="1"/>
  <c r="B116" i="5"/>
  <c r="A116" i="5"/>
  <c r="C115" i="5"/>
  <c r="B115" i="5"/>
  <c r="A115" i="5"/>
  <c r="C114" i="5"/>
  <c r="G132" i="5" s="1"/>
  <c r="B114" i="5"/>
  <c r="A114" i="5"/>
  <c r="C113" i="5"/>
  <c r="B113" i="5"/>
  <c r="B124" i="5" s="1"/>
  <c r="A113" i="5"/>
  <c r="C112" i="5"/>
  <c r="G130" i="5" s="1"/>
  <c r="B112" i="5"/>
  <c r="A112" i="5"/>
  <c r="C111" i="5"/>
  <c r="B111" i="5"/>
  <c r="A111" i="5"/>
  <c r="C110" i="5"/>
  <c r="G128" i="5" s="1"/>
  <c r="B110" i="5"/>
  <c r="A110" i="5"/>
  <c r="G105" i="5"/>
  <c r="F105" i="5"/>
  <c r="C105" i="5"/>
  <c r="B105" i="5"/>
  <c r="A105" i="5"/>
  <c r="F104" i="5"/>
  <c r="C104" i="5"/>
  <c r="G104" i="5" s="1"/>
  <c r="B104" i="5"/>
  <c r="A104" i="5"/>
  <c r="G103" i="5"/>
  <c r="F103" i="5"/>
  <c r="C103" i="5"/>
  <c r="B103" i="5"/>
  <c r="A103" i="5"/>
  <c r="G102" i="5"/>
  <c r="F102" i="5"/>
  <c r="C102" i="5"/>
  <c r="B102" i="5"/>
  <c r="A102" i="5"/>
  <c r="F101" i="5"/>
  <c r="C101" i="5"/>
  <c r="G101" i="5" s="1"/>
  <c r="B101" i="5"/>
  <c r="A101" i="5"/>
  <c r="F100" i="5"/>
  <c r="C100" i="5"/>
  <c r="G100" i="5" s="1"/>
  <c r="B100" i="5"/>
  <c r="A100" i="5"/>
  <c r="G99" i="5"/>
  <c r="F99" i="5"/>
  <c r="C99" i="5"/>
  <c r="B99" i="5"/>
  <c r="A99" i="5"/>
  <c r="G98" i="5"/>
  <c r="F98" i="5"/>
  <c r="C98" i="5"/>
  <c r="B98" i="5"/>
  <c r="A98" i="5"/>
  <c r="F97" i="5"/>
  <c r="C97" i="5"/>
  <c r="G97" i="5" s="1"/>
  <c r="B97" i="5"/>
  <c r="A97" i="5"/>
  <c r="F96" i="5"/>
  <c r="C96" i="5"/>
  <c r="G96" i="5" s="1"/>
  <c r="B96" i="5"/>
  <c r="A96" i="5"/>
  <c r="F95" i="5"/>
  <c r="C95" i="5"/>
  <c r="G95" i="5" s="1"/>
  <c r="B95" i="5"/>
  <c r="A95" i="5"/>
  <c r="G94" i="5"/>
  <c r="F94" i="5"/>
  <c r="C94" i="5"/>
  <c r="B94" i="5"/>
  <c r="A94" i="5"/>
  <c r="G93" i="5"/>
  <c r="F93" i="5"/>
  <c r="C93" i="5"/>
  <c r="B93" i="5"/>
  <c r="A93" i="5"/>
  <c r="F92" i="5"/>
  <c r="C92" i="5"/>
  <c r="G92" i="5" s="1"/>
  <c r="B92" i="5"/>
  <c r="A92" i="5"/>
  <c r="F91" i="5"/>
  <c r="C91" i="5"/>
  <c r="G91" i="5" s="1"/>
  <c r="B91" i="5"/>
  <c r="A91" i="5"/>
  <c r="G90" i="5"/>
  <c r="F90" i="5"/>
  <c r="C90" i="5"/>
  <c r="B90" i="5"/>
  <c r="A90" i="5"/>
  <c r="G89" i="5"/>
  <c r="F89" i="5"/>
  <c r="C89" i="5"/>
  <c r="B89" i="5"/>
  <c r="A89" i="5"/>
  <c r="F88" i="5"/>
  <c r="C88" i="5"/>
  <c r="G88" i="5" s="1"/>
  <c r="B88" i="5"/>
  <c r="A88" i="5"/>
  <c r="G87" i="5"/>
  <c r="F87" i="5"/>
  <c r="C87" i="5"/>
  <c r="B87" i="5"/>
  <c r="A87" i="5"/>
  <c r="G86" i="5"/>
  <c r="F86" i="5"/>
  <c r="C86" i="5"/>
  <c r="B86" i="5"/>
  <c r="A86" i="5"/>
  <c r="F85" i="5"/>
  <c r="C85" i="5"/>
  <c r="G85" i="5" s="1"/>
  <c r="B85" i="5"/>
  <c r="A85" i="5"/>
  <c r="F84" i="5"/>
  <c r="C84" i="5"/>
  <c r="G84" i="5" s="1"/>
  <c r="B84" i="5"/>
  <c r="A84" i="5"/>
  <c r="G83" i="5"/>
  <c r="F83" i="5"/>
  <c r="C83" i="5"/>
  <c r="B83" i="5"/>
  <c r="A83" i="5"/>
  <c r="G82" i="5"/>
  <c r="F82" i="5"/>
  <c r="C82" i="5"/>
  <c r="B82" i="5"/>
  <c r="A82" i="5"/>
  <c r="F81" i="5"/>
  <c r="C81" i="5"/>
  <c r="G81" i="5" s="1"/>
  <c r="B81" i="5"/>
  <c r="A81" i="5"/>
  <c r="F80" i="5"/>
  <c r="C80" i="5"/>
  <c r="G80" i="5" s="1"/>
  <c r="B80" i="5"/>
  <c r="A80" i="5"/>
  <c r="F79" i="5"/>
  <c r="C79" i="5"/>
  <c r="G79" i="5" s="1"/>
  <c r="B79" i="5"/>
  <c r="A79" i="5"/>
  <c r="G78" i="5"/>
  <c r="F78" i="5"/>
  <c r="C78" i="5"/>
  <c r="B78" i="5"/>
  <c r="A78" i="5"/>
  <c r="G77" i="5"/>
  <c r="F77" i="5"/>
  <c r="C77" i="5"/>
  <c r="B77" i="5"/>
  <c r="A77" i="5"/>
  <c r="F76" i="5"/>
  <c r="C76" i="5"/>
  <c r="G76" i="5" s="1"/>
  <c r="B76" i="5"/>
  <c r="A76" i="5"/>
  <c r="F75" i="5"/>
  <c r="C75" i="5"/>
  <c r="G75" i="5" s="1"/>
  <c r="B75" i="5"/>
  <c r="A75" i="5"/>
  <c r="G74" i="5"/>
  <c r="F74" i="5"/>
  <c r="C74" i="5"/>
  <c r="B74" i="5"/>
  <c r="A74" i="5"/>
  <c r="G73" i="5"/>
  <c r="F73" i="5"/>
  <c r="C73" i="5"/>
  <c r="B73" i="5"/>
  <c r="A73" i="5"/>
  <c r="F72" i="5"/>
  <c r="C72" i="5"/>
  <c r="G72" i="5" s="1"/>
  <c r="B72" i="5"/>
  <c r="A72" i="5"/>
  <c r="G71" i="5"/>
  <c r="F71" i="5"/>
  <c r="C71" i="5"/>
  <c r="B71" i="5"/>
  <c r="A71" i="5"/>
  <c r="G70" i="5"/>
  <c r="F70" i="5"/>
  <c r="C70" i="5"/>
  <c r="B70" i="5"/>
  <c r="A70" i="5"/>
  <c r="F69" i="5"/>
  <c r="C69" i="5"/>
  <c r="G69" i="5" s="1"/>
  <c r="B69" i="5"/>
  <c r="A69" i="5"/>
  <c r="F68" i="5"/>
  <c r="C68" i="5"/>
  <c r="G68" i="5" s="1"/>
  <c r="B68" i="5"/>
  <c r="A68" i="5"/>
  <c r="G67" i="5"/>
  <c r="F67" i="5"/>
  <c r="C67" i="5"/>
  <c r="B67" i="5"/>
  <c r="A67" i="5"/>
  <c r="G66" i="5"/>
  <c r="F66" i="5"/>
  <c r="C66" i="5"/>
  <c r="B66" i="5"/>
  <c r="A66" i="5"/>
  <c r="F65" i="5"/>
  <c r="C65" i="5"/>
  <c r="G65" i="5" s="1"/>
  <c r="B65" i="5"/>
  <c r="A65" i="5"/>
  <c r="F64" i="5"/>
  <c r="C64" i="5"/>
  <c r="G64" i="5" s="1"/>
  <c r="B64" i="5"/>
  <c r="A64" i="5"/>
  <c r="F63" i="5"/>
  <c r="C63" i="5"/>
  <c r="G63" i="5" s="1"/>
  <c r="B63" i="5"/>
  <c r="A63" i="5"/>
  <c r="G62" i="5"/>
  <c r="F62" i="5"/>
  <c r="C62" i="5"/>
  <c r="B62" i="5"/>
  <c r="A62" i="5"/>
  <c r="G61" i="5"/>
  <c r="F61" i="5"/>
  <c r="C61" i="5"/>
  <c r="B61" i="5"/>
  <c r="A61" i="5"/>
  <c r="F60" i="5"/>
  <c r="C60" i="5"/>
  <c r="G60" i="5" s="1"/>
  <c r="B60" i="5"/>
  <c r="A60" i="5"/>
  <c r="F59" i="5"/>
  <c r="C59" i="5"/>
  <c r="G59" i="5" s="1"/>
  <c r="B59" i="5"/>
  <c r="A59" i="5"/>
  <c r="G58" i="5"/>
  <c r="F58" i="5"/>
  <c r="C58" i="5"/>
  <c r="B58" i="5"/>
  <c r="A58" i="5"/>
  <c r="G57" i="5"/>
  <c r="F57" i="5"/>
  <c r="C57" i="5"/>
  <c r="B57" i="5"/>
  <c r="A57" i="5"/>
  <c r="F56" i="5"/>
  <c r="C56" i="5"/>
  <c r="G56" i="5" s="1"/>
  <c r="B56" i="5"/>
  <c r="A56" i="5"/>
  <c r="G55" i="5"/>
  <c r="F55" i="5"/>
  <c r="C55" i="5"/>
  <c r="B55" i="5"/>
  <c r="A55" i="5"/>
  <c r="G54" i="5"/>
  <c r="F54" i="5"/>
  <c r="C54" i="5"/>
  <c r="B54" i="5"/>
  <c r="A54" i="5"/>
  <c r="F53" i="5"/>
  <c r="C53" i="5"/>
  <c r="G53" i="5" s="1"/>
  <c r="B53" i="5"/>
  <c r="A53" i="5"/>
  <c r="F52" i="5"/>
  <c r="C52" i="5"/>
  <c r="G52" i="5" s="1"/>
  <c r="B52" i="5"/>
  <c r="A52" i="5"/>
  <c r="G51" i="5"/>
  <c r="F51" i="5"/>
  <c r="C51" i="5"/>
  <c r="B51" i="5"/>
  <c r="A51" i="5"/>
  <c r="G50" i="5"/>
  <c r="F50" i="5"/>
  <c r="C50" i="5"/>
  <c r="B50" i="5"/>
  <c r="A50" i="5"/>
  <c r="F49" i="5"/>
  <c r="C49" i="5"/>
  <c r="G49" i="5" s="1"/>
  <c r="B49" i="5"/>
  <c r="A49" i="5"/>
  <c r="F48" i="5"/>
  <c r="C48" i="5"/>
  <c r="G48" i="5" s="1"/>
  <c r="B48" i="5"/>
  <c r="A48" i="5"/>
  <c r="F47" i="5"/>
  <c r="C47" i="5"/>
  <c r="G47" i="5" s="1"/>
  <c r="B47" i="5"/>
  <c r="A47" i="5"/>
  <c r="G46" i="5"/>
  <c r="F46" i="5"/>
  <c r="C46" i="5"/>
  <c r="B46" i="5"/>
  <c r="A46" i="5"/>
  <c r="G45" i="5"/>
  <c r="F45" i="5"/>
  <c r="C45" i="5"/>
  <c r="B45" i="5"/>
  <c r="A45" i="5"/>
  <c r="F44" i="5"/>
  <c r="C44" i="5"/>
  <c r="G44" i="5" s="1"/>
  <c r="B44" i="5"/>
  <c r="A44" i="5"/>
  <c r="F43" i="5"/>
  <c r="C43" i="5"/>
  <c r="G43" i="5" s="1"/>
  <c r="B43" i="5"/>
  <c r="A43" i="5"/>
  <c r="F42" i="5"/>
  <c r="C42" i="5"/>
  <c r="G42" i="5" s="1"/>
  <c r="B42" i="5"/>
  <c r="A42" i="5"/>
  <c r="G41" i="5"/>
  <c r="F41" i="5"/>
  <c r="C41" i="5"/>
  <c r="B41" i="5"/>
  <c r="A41" i="5"/>
  <c r="G40" i="5"/>
  <c r="F40" i="5"/>
  <c r="C40" i="5"/>
  <c r="B40" i="5"/>
  <c r="A40" i="5"/>
  <c r="F39" i="5"/>
  <c r="C39" i="5"/>
  <c r="G39" i="5" s="1"/>
  <c r="B39" i="5"/>
  <c r="A39" i="5"/>
  <c r="F38" i="5"/>
  <c r="C38" i="5"/>
  <c r="G38" i="5" s="1"/>
  <c r="B38" i="5"/>
  <c r="A38" i="5"/>
  <c r="G37" i="5"/>
  <c r="F37" i="5"/>
  <c r="C37" i="5"/>
  <c r="B37" i="5"/>
  <c r="A37" i="5"/>
  <c r="G36" i="5"/>
  <c r="F36" i="5"/>
  <c r="C36" i="5"/>
  <c r="B36" i="5"/>
  <c r="A36" i="5"/>
  <c r="F35" i="5"/>
  <c r="C35" i="5"/>
  <c r="G35" i="5" s="1"/>
  <c r="B35" i="5"/>
  <c r="A35" i="5"/>
  <c r="F34" i="5"/>
  <c r="C34" i="5"/>
  <c r="G34" i="5" s="1"/>
  <c r="B34" i="5"/>
  <c r="A34" i="5"/>
  <c r="G33" i="5"/>
  <c r="F33" i="5"/>
  <c r="C33" i="5"/>
  <c r="B33" i="5"/>
  <c r="A33" i="5"/>
  <c r="G32" i="5"/>
  <c r="F32" i="5"/>
  <c r="C32" i="5"/>
  <c r="B32" i="5"/>
  <c r="A32" i="5"/>
  <c r="F31" i="5"/>
  <c r="C31" i="5"/>
  <c r="G31" i="5" s="1"/>
  <c r="B31" i="5"/>
  <c r="A31" i="5"/>
  <c r="F30" i="5"/>
  <c r="C30" i="5"/>
  <c r="G30" i="5" s="1"/>
  <c r="B30" i="5"/>
  <c r="A30" i="5"/>
  <c r="G29" i="5"/>
  <c r="F29" i="5"/>
  <c r="C29" i="5"/>
  <c r="B29" i="5"/>
  <c r="A29" i="5"/>
  <c r="G28" i="5"/>
  <c r="F28" i="5"/>
  <c r="C28" i="5"/>
  <c r="B28" i="5"/>
  <c r="A28" i="5"/>
  <c r="F27" i="5"/>
  <c r="C27" i="5"/>
  <c r="G27" i="5" s="1"/>
  <c r="B27" i="5"/>
  <c r="A27" i="5"/>
  <c r="F26" i="5"/>
  <c r="C26" i="5"/>
  <c r="G26" i="5" s="1"/>
  <c r="B26" i="5"/>
  <c r="A26" i="5"/>
  <c r="G25" i="5"/>
  <c r="F25" i="5"/>
  <c r="C25" i="5"/>
  <c r="B25" i="5"/>
  <c r="A25" i="5"/>
  <c r="G24" i="5"/>
  <c r="F24" i="5"/>
  <c r="C24" i="5"/>
  <c r="B24" i="5"/>
  <c r="A24" i="5"/>
  <c r="F23" i="5"/>
  <c r="C23" i="5"/>
  <c r="G23" i="5" s="1"/>
  <c r="B23" i="5"/>
  <c r="A23" i="5"/>
  <c r="F22" i="5"/>
  <c r="C22" i="5"/>
  <c r="G22" i="5" s="1"/>
  <c r="B22" i="5"/>
  <c r="A22" i="5"/>
  <c r="G21" i="5"/>
  <c r="F21" i="5"/>
  <c r="C21" i="5"/>
  <c r="B21" i="5"/>
  <c r="A21" i="5"/>
  <c r="G20" i="5"/>
  <c r="F20" i="5"/>
  <c r="C20" i="5"/>
  <c r="B20" i="5"/>
  <c r="A20" i="5"/>
  <c r="F19" i="5"/>
  <c r="C19" i="5"/>
  <c r="G19" i="5" s="1"/>
  <c r="B19" i="5"/>
  <c r="A19" i="5"/>
  <c r="F18" i="5"/>
  <c r="C18" i="5"/>
  <c r="G18" i="5" s="1"/>
  <c r="B18" i="5"/>
  <c r="A18" i="5"/>
  <c r="G17" i="5"/>
  <c r="F17" i="5"/>
  <c r="C17" i="5"/>
  <c r="B17" i="5"/>
  <c r="A17" i="5"/>
  <c r="G16" i="5"/>
  <c r="F16" i="5"/>
  <c r="C16" i="5"/>
  <c r="B16" i="5"/>
  <c r="A16" i="5"/>
  <c r="F15" i="5"/>
  <c r="C15" i="5"/>
  <c r="G15" i="5" s="1"/>
  <c r="B15" i="5"/>
  <c r="A15" i="5"/>
  <c r="F14" i="5"/>
  <c r="C14" i="5"/>
  <c r="G14" i="5" s="1"/>
  <c r="B14" i="5"/>
  <c r="A14" i="5"/>
  <c r="G13" i="5"/>
  <c r="F13" i="5"/>
  <c r="C13" i="5"/>
  <c r="B13" i="5"/>
  <c r="A13" i="5"/>
  <c r="G12" i="5"/>
  <c r="F12" i="5"/>
  <c r="C12" i="5"/>
  <c r="B12" i="5"/>
  <c r="A12" i="5"/>
  <c r="F11" i="5"/>
  <c r="C11" i="5"/>
  <c r="G11" i="5" s="1"/>
  <c r="B11" i="5"/>
  <c r="A11" i="5"/>
  <c r="F10" i="5"/>
  <c r="C10" i="5"/>
  <c r="G10" i="5" s="1"/>
  <c r="B10" i="5"/>
  <c r="A10" i="5"/>
  <c r="G9" i="5"/>
  <c r="F9" i="5"/>
  <c r="C9" i="5"/>
  <c r="B9" i="5"/>
  <c r="A9" i="5"/>
  <c r="G8" i="5"/>
  <c r="F8" i="5"/>
  <c r="C8" i="5"/>
  <c r="B8" i="5"/>
  <c r="A8" i="5"/>
  <c r="F7" i="5"/>
  <c r="C7" i="5"/>
  <c r="G7" i="5" s="1"/>
  <c r="B7" i="5"/>
  <c r="A7" i="5"/>
  <c r="F6" i="5"/>
  <c r="C6" i="5"/>
  <c r="G6" i="5" s="1"/>
  <c r="B6" i="5"/>
  <c r="A6" i="5"/>
  <c r="G354" i="4"/>
  <c r="P339" i="4"/>
  <c r="P325" i="4"/>
  <c r="D318" i="4"/>
  <c r="C318" i="4"/>
  <c r="B318" i="4"/>
  <c r="A318" i="4"/>
  <c r="C317" i="4"/>
  <c r="B317" i="4"/>
  <c r="A317" i="4"/>
  <c r="C316" i="4"/>
  <c r="B316" i="4"/>
  <c r="P352" i="4" s="1"/>
  <c r="A316" i="4"/>
  <c r="C315" i="4"/>
  <c r="B315" i="4"/>
  <c r="A315" i="4"/>
  <c r="P314" i="4"/>
  <c r="O314" i="4"/>
  <c r="D314" i="4"/>
  <c r="C314" i="4"/>
  <c r="B314" i="4"/>
  <c r="P350" i="4" s="1"/>
  <c r="A314" i="4"/>
  <c r="P313" i="4"/>
  <c r="O313" i="4"/>
  <c r="D313" i="4"/>
  <c r="C313" i="4"/>
  <c r="B313" i="4"/>
  <c r="O349" i="4" s="1"/>
  <c r="A313" i="4"/>
  <c r="P312" i="4"/>
  <c r="O312" i="4"/>
  <c r="D312" i="4"/>
  <c r="C312" i="4"/>
  <c r="B312" i="4"/>
  <c r="P348" i="4" s="1"/>
  <c r="A312" i="4"/>
  <c r="D311" i="4"/>
  <c r="C311" i="4"/>
  <c r="B311" i="4"/>
  <c r="O347" i="4" s="1"/>
  <c r="A311" i="4"/>
  <c r="P310" i="4"/>
  <c r="O310" i="4"/>
  <c r="D310" i="4"/>
  <c r="C310" i="4"/>
  <c r="B310" i="4"/>
  <c r="P346" i="4" s="1"/>
  <c r="A310" i="4"/>
  <c r="P309" i="4"/>
  <c r="O309" i="4"/>
  <c r="D309" i="4"/>
  <c r="C309" i="4"/>
  <c r="B309" i="4"/>
  <c r="O345" i="4" s="1"/>
  <c r="A309" i="4"/>
  <c r="P308" i="4"/>
  <c r="O308" i="4"/>
  <c r="D308" i="4"/>
  <c r="C308" i="4"/>
  <c r="B308" i="4"/>
  <c r="P344" i="4" s="1"/>
  <c r="A308" i="4"/>
  <c r="P307" i="4"/>
  <c r="O307" i="4"/>
  <c r="D307" i="4"/>
  <c r="C307" i="4"/>
  <c r="B307" i="4"/>
  <c r="A307" i="4"/>
  <c r="P306" i="4"/>
  <c r="O306" i="4"/>
  <c r="D306" i="4"/>
  <c r="C306" i="4"/>
  <c r="B306" i="4"/>
  <c r="P342" i="4" s="1"/>
  <c r="A306" i="4"/>
  <c r="P305" i="4"/>
  <c r="O305" i="4"/>
  <c r="D305" i="4"/>
  <c r="C305" i="4"/>
  <c r="B305" i="4"/>
  <c r="A305" i="4"/>
  <c r="P304" i="4"/>
  <c r="O304" i="4"/>
  <c r="D304" i="4"/>
  <c r="C304" i="4"/>
  <c r="B304" i="4"/>
  <c r="P340" i="4" s="1"/>
  <c r="A304" i="4"/>
  <c r="P303" i="4"/>
  <c r="O303" i="4"/>
  <c r="D303" i="4"/>
  <c r="C303" i="4"/>
  <c r="B303" i="4"/>
  <c r="O339" i="4" s="1"/>
  <c r="A303" i="4"/>
  <c r="P302" i="4"/>
  <c r="O302" i="4"/>
  <c r="D302" i="4"/>
  <c r="C302" i="4"/>
  <c r="B302" i="4"/>
  <c r="P338" i="4" s="1"/>
  <c r="A302" i="4"/>
  <c r="P301" i="4"/>
  <c r="O301" i="4"/>
  <c r="D301" i="4"/>
  <c r="C301" i="4"/>
  <c r="B301" i="4"/>
  <c r="O337" i="4" s="1"/>
  <c r="A301" i="4"/>
  <c r="P300" i="4"/>
  <c r="O300" i="4"/>
  <c r="D300" i="4"/>
  <c r="C300" i="4"/>
  <c r="B300" i="4"/>
  <c r="P336" i="4" s="1"/>
  <c r="A300" i="4"/>
  <c r="P299" i="4"/>
  <c r="O299" i="4"/>
  <c r="D299" i="4"/>
  <c r="C299" i="4"/>
  <c r="B299" i="4"/>
  <c r="A299" i="4"/>
  <c r="P298" i="4"/>
  <c r="O298" i="4"/>
  <c r="D298" i="4"/>
  <c r="C298" i="4"/>
  <c r="B298" i="4"/>
  <c r="P334" i="4" s="1"/>
  <c r="A298" i="4"/>
  <c r="P297" i="4"/>
  <c r="O297" i="4"/>
  <c r="D297" i="4"/>
  <c r="C297" i="4"/>
  <c r="B297" i="4"/>
  <c r="O333" i="4" s="1"/>
  <c r="A297" i="4"/>
  <c r="P296" i="4"/>
  <c r="O296" i="4"/>
  <c r="D296" i="4"/>
  <c r="C296" i="4"/>
  <c r="B296" i="4"/>
  <c r="P332" i="4" s="1"/>
  <c r="A296" i="4"/>
  <c r="P295" i="4"/>
  <c r="O295" i="4"/>
  <c r="D295" i="4"/>
  <c r="C295" i="4"/>
  <c r="B295" i="4"/>
  <c r="A295" i="4"/>
  <c r="P294" i="4"/>
  <c r="O294" i="4"/>
  <c r="D294" i="4"/>
  <c r="C294" i="4"/>
  <c r="B294" i="4"/>
  <c r="P330" i="4" s="1"/>
  <c r="A294" i="4"/>
  <c r="P293" i="4"/>
  <c r="O293" i="4"/>
  <c r="D293" i="4"/>
  <c r="C293" i="4"/>
  <c r="B293" i="4"/>
  <c r="O329" i="4" s="1"/>
  <c r="A293" i="4"/>
  <c r="P292" i="4"/>
  <c r="O292" i="4"/>
  <c r="D292" i="4"/>
  <c r="C292" i="4"/>
  <c r="B292" i="4"/>
  <c r="P328" i="4" s="1"/>
  <c r="A292" i="4"/>
  <c r="P291" i="4"/>
  <c r="O291" i="4"/>
  <c r="D291" i="4"/>
  <c r="C291" i="4"/>
  <c r="B291" i="4"/>
  <c r="A291" i="4"/>
  <c r="P290" i="4"/>
  <c r="O290" i="4"/>
  <c r="D290" i="4"/>
  <c r="C290" i="4"/>
  <c r="B290" i="4"/>
  <c r="P326" i="4" s="1"/>
  <c r="A290" i="4"/>
  <c r="P289" i="4"/>
  <c r="O289" i="4"/>
  <c r="D289" i="4"/>
  <c r="C289" i="4"/>
  <c r="B289" i="4"/>
  <c r="O325" i="4" s="1"/>
  <c r="A289" i="4"/>
  <c r="P288" i="4"/>
  <c r="O288" i="4"/>
  <c r="D288" i="4"/>
  <c r="C288" i="4"/>
  <c r="B288" i="4"/>
  <c r="P324" i="4" s="1"/>
  <c r="A288" i="4"/>
  <c r="P287" i="4"/>
  <c r="O287" i="4"/>
  <c r="D287" i="4"/>
  <c r="C287" i="4"/>
  <c r="B287" i="4"/>
  <c r="O323" i="4" s="1"/>
  <c r="A287" i="4"/>
  <c r="P286" i="4"/>
  <c r="O286" i="4"/>
  <c r="D286" i="4"/>
  <c r="C286" i="4"/>
  <c r="B286" i="4"/>
  <c r="P322" i="4" s="1"/>
  <c r="A286" i="4"/>
  <c r="P285" i="4"/>
  <c r="O285" i="4"/>
  <c r="D285" i="4"/>
  <c r="C285" i="4"/>
  <c r="B285" i="4"/>
  <c r="A285" i="4"/>
  <c r="P284" i="4"/>
  <c r="O284" i="4"/>
  <c r="D284" i="4"/>
  <c r="C284" i="4"/>
  <c r="B284" i="4"/>
  <c r="P320" i="4" s="1"/>
  <c r="A284" i="4"/>
  <c r="P283" i="4"/>
  <c r="O283" i="4"/>
  <c r="D283" i="4"/>
  <c r="C283" i="4"/>
  <c r="B283" i="4"/>
  <c r="A283" i="4"/>
  <c r="P282" i="4"/>
  <c r="O282" i="4"/>
  <c r="D282" i="4"/>
  <c r="C282" i="4"/>
  <c r="B282" i="4"/>
  <c r="P318" i="4" s="1"/>
  <c r="A282" i="4"/>
  <c r="P281" i="4"/>
  <c r="O281" i="4"/>
  <c r="D281" i="4"/>
  <c r="C281" i="4"/>
  <c r="D317" i="4" s="1"/>
  <c r="B281" i="4"/>
  <c r="O317" i="4" s="1"/>
  <c r="A281" i="4"/>
  <c r="P280" i="4"/>
  <c r="O280" i="4"/>
  <c r="D280" i="4"/>
  <c r="C280" i="4"/>
  <c r="D316" i="4" s="1"/>
  <c r="B280" i="4"/>
  <c r="P316" i="4" s="1"/>
  <c r="A280" i="4"/>
  <c r="P279" i="4"/>
  <c r="O279" i="4"/>
  <c r="D279" i="4"/>
  <c r="C279" i="4"/>
  <c r="D315" i="4" s="1"/>
  <c r="B279" i="4"/>
  <c r="O315" i="4" s="1"/>
  <c r="A279" i="4"/>
  <c r="I275" i="4"/>
  <c r="I354" i="4" s="1"/>
  <c r="O273" i="4"/>
  <c r="O267" i="4"/>
  <c r="P265" i="4"/>
  <c r="O263" i="4"/>
  <c r="O261" i="4"/>
  <c r="O259" i="4"/>
  <c r="O255" i="4"/>
  <c r="P253" i="4"/>
  <c r="O253" i="4"/>
  <c r="O251" i="4"/>
  <c r="P249" i="4"/>
  <c r="O249" i="4"/>
  <c r="O247" i="4"/>
  <c r="P245" i="4"/>
  <c r="O245" i="4"/>
  <c r="O243" i="4"/>
  <c r="C239" i="4"/>
  <c r="B239" i="4"/>
  <c r="A239" i="4"/>
  <c r="C238" i="4"/>
  <c r="B238" i="4"/>
  <c r="A238" i="4"/>
  <c r="C237" i="4"/>
  <c r="B237" i="4"/>
  <c r="P273" i="4" s="1"/>
  <c r="A237" i="4"/>
  <c r="O236" i="4"/>
  <c r="D236" i="4"/>
  <c r="C236" i="4"/>
  <c r="B236" i="4"/>
  <c r="A236" i="4"/>
  <c r="P235" i="4"/>
  <c r="O235" i="4"/>
  <c r="D235" i="4"/>
  <c r="C235" i="4"/>
  <c r="B235" i="4"/>
  <c r="P271" i="4" s="1"/>
  <c r="A235" i="4"/>
  <c r="P234" i="4"/>
  <c r="O234" i="4"/>
  <c r="D234" i="4"/>
  <c r="C234" i="4"/>
  <c r="B234" i="4"/>
  <c r="A234" i="4"/>
  <c r="P233" i="4"/>
  <c r="O233" i="4"/>
  <c r="D233" i="4"/>
  <c r="C233" i="4"/>
  <c r="B233" i="4"/>
  <c r="O269" i="4" s="1"/>
  <c r="A233" i="4"/>
  <c r="D232" i="4"/>
  <c r="C232" i="4"/>
  <c r="B232" i="4"/>
  <c r="A232" i="4"/>
  <c r="P231" i="4"/>
  <c r="C231" i="4"/>
  <c r="B231" i="4"/>
  <c r="P267" i="4" s="1"/>
  <c r="A231" i="4"/>
  <c r="O230" i="4"/>
  <c r="C230" i="4"/>
  <c r="B230" i="4"/>
  <c r="A230" i="4"/>
  <c r="D229" i="4"/>
  <c r="C229" i="4"/>
  <c r="B229" i="4"/>
  <c r="O265" i="4" s="1"/>
  <c r="A229" i="4"/>
  <c r="P228" i="4"/>
  <c r="D228" i="4"/>
  <c r="C228" i="4"/>
  <c r="B228" i="4"/>
  <c r="A228" i="4"/>
  <c r="C227" i="4"/>
  <c r="B227" i="4"/>
  <c r="P263" i="4" s="1"/>
  <c r="A227" i="4"/>
  <c r="P226" i="4"/>
  <c r="O226" i="4"/>
  <c r="C226" i="4"/>
  <c r="B226" i="4"/>
  <c r="A226" i="4"/>
  <c r="C225" i="4"/>
  <c r="B225" i="4"/>
  <c r="P261" i="4" s="1"/>
  <c r="A225" i="4"/>
  <c r="P224" i="4"/>
  <c r="O224" i="4"/>
  <c r="D224" i="4"/>
  <c r="C224" i="4"/>
  <c r="B224" i="4"/>
  <c r="A224" i="4"/>
  <c r="P223" i="4"/>
  <c r="C223" i="4"/>
  <c r="B223" i="4"/>
  <c r="P259" i="4" s="1"/>
  <c r="A223" i="4"/>
  <c r="O222" i="4"/>
  <c r="D222" i="4"/>
  <c r="C222" i="4"/>
  <c r="B222" i="4"/>
  <c r="A222" i="4"/>
  <c r="C221" i="4"/>
  <c r="B221" i="4"/>
  <c r="P257" i="4" s="1"/>
  <c r="A221" i="4"/>
  <c r="P220" i="4"/>
  <c r="C220" i="4"/>
  <c r="B220" i="4"/>
  <c r="A220" i="4"/>
  <c r="C219" i="4"/>
  <c r="B219" i="4"/>
  <c r="P255" i="4" s="1"/>
  <c r="A219" i="4"/>
  <c r="O218" i="4"/>
  <c r="C218" i="4"/>
  <c r="B218" i="4"/>
  <c r="A218" i="4"/>
  <c r="P217" i="4"/>
  <c r="O217" i="4"/>
  <c r="D217" i="4"/>
  <c r="C217" i="4"/>
  <c r="B217" i="4"/>
  <c r="A217" i="4"/>
  <c r="P216" i="4"/>
  <c r="O216" i="4"/>
  <c r="D216" i="4"/>
  <c r="C216" i="4"/>
  <c r="B216" i="4"/>
  <c r="A216" i="4"/>
  <c r="P215" i="4"/>
  <c r="O215" i="4"/>
  <c r="D215" i="4"/>
  <c r="C215" i="4"/>
  <c r="B215" i="4"/>
  <c r="P251" i="4" s="1"/>
  <c r="A215" i="4"/>
  <c r="D214" i="4"/>
  <c r="C214" i="4"/>
  <c r="B214" i="4"/>
  <c r="A214" i="4"/>
  <c r="P213" i="4"/>
  <c r="O213" i="4"/>
  <c r="D213" i="4"/>
  <c r="C213" i="4"/>
  <c r="B213" i="4"/>
  <c r="A213" i="4"/>
  <c r="P212" i="4"/>
  <c r="O212" i="4"/>
  <c r="D212" i="4"/>
  <c r="C212" i="4"/>
  <c r="B212" i="4"/>
  <c r="A212" i="4"/>
  <c r="P211" i="4"/>
  <c r="O211" i="4"/>
  <c r="D211" i="4"/>
  <c r="C211" i="4"/>
  <c r="B211" i="4"/>
  <c r="P247" i="4" s="1"/>
  <c r="A211" i="4"/>
  <c r="P210" i="4"/>
  <c r="O210" i="4"/>
  <c r="D210" i="4"/>
  <c r="C210" i="4"/>
  <c r="B210" i="4"/>
  <c r="A210" i="4"/>
  <c r="P209" i="4"/>
  <c r="O209" i="4"/>
  <c r="D209" i="4"/>
  <c r="C209" i="4"/>
  <c r="B209" i="4"/>
  <c r="A209" i="4"/>
  <c r="P208" i="4"/>
  <c r="O208" i="4"/>
  <c r="D208" i="4"/>
  <c r="C208" i="4"/>
  <c r="B208" i="4"/>
  <c r="A208" i="4"/>
  <c r="P207" i="4"/>
  <c r="O207" i="4"/>
  <c r="D207" i="4"/>
  <c r="C207" i="4"/>
  <c r="B207" i="4"/>
  <c r="P243" i="4" s="1"/>
  <c r="A207" i="4"/>
  <c r="P206" i="4"/>
  <c r="O206" i="4"/>
  <c r="D206" i="4"/>
  <c r="C206" i="4"/>
  <c r="B206" i="4"/>
  <c r="A206" i="4"/>
  <c r="P205" i="4"/>
  <c r="O205" i="4"/>
  <c r="D205" i="4"/>
  <c r="C205" i="4"/>
  <c r="B205" i="4"/>
  <c r="A205" i="4"/>
  <c r="P204" i="4"/>
  <c r="O204" i="4"/>
  <c r="D204" i="4"/>
  <c r="C204" i="4"/>
  <c r="B204" i="4"/>
  <c r="P240" i="4" s="1"/>
  <c r="A204" i="4"/>
  <c r="P203" i="4"/>
  <c r="O203" i="4"/>
  <c r="D203" i="4"/>
  <c r="C203" i="4"/>
  <c r="D239" i="4" s="1"/>
  <c r="B203" i="4"/>
  <c r="A203" i="4"/>
  <c r="P202" i="4"/>
  <c r="O202" i="4"/>
  <c r="D202" i="4"/>
  <c r="C202" i="4"/>
  <c r="D238" i="4" s="1"/>
  <c r="B202" i="4"/>
  <c r="P238" i="4" s="1"/>
  <c r="A202" i="4"/>
  <c r="P201" i="4"/>
  <c r="O201" i="4"/>
  <c r="D201" i="4"/>
  <c r="C201" i="4"/>
  <c r="D237" i="4" s="1"/>
  <c r="B201" i="4"/>
  <c r="A201" i="4"/>
  <c r="P200" i="4"/>
  <c r="O200" i="4"/>
  <c r="D200" i="4"/>
  <c r="C200" i="4"/>
  <c r="B200" i="4"/>
  <c r="P236" i="4" s="1"/>
  <c r="A200" i="4"/>
  <c r="O195" i="4"/>
  <c r="C195" i="4"/>
  <c r="B195" i="4"/>
  <c r="A195" i="4"/>
  <c r="O194" i="4"/>
  <c r="C194" i="4"/>
  <c r="D230" i="4" s="1"/>
  <c r="B194" i="4"/>
  <c r="P230" i="4" s="1"/>
  <c r="A194" i="4"/>
  <c r="C193" i="4"/>
  <c r="D193" i="4" s="1"/>
  <c r="B193" i="4"/>
  <c r="A193" i="4"/>
  <c r="O192" i="4"/>
  <c r="C192" i="4"/>
  <c r="D192" i="4" s="1"/>
  <c r="B192" i="4"/>
  <c r="O228" i="4" s="1"/>
  <c r="A192" i="4"/>
  <c r="C191" i="4"/>
  <c r="D191" i="4" s="1"/>
  <c r="B191" i="4"/>
  <c r="A191" i="4"/>
  <c r="O190" i="4"/>
  <c r="C190" i="4"/>
  <c r="D226" i="4" s="1"/>
  <c r="B190" i="4"/>
  <c r="P190" i="4" s="1"/>
  <c r="A190" i="4"/>
  <c r="P189" i="4"/>
  <c r="O189" i="4"/>
  <c r="C189" i="4"/>
  <c r="D189" i="4" s="1"/>
  <c r="B189" i="4"/>
  <c r="A189" i="4"/>
  <c r="O188" i="4"/>
  <c r="C188" i="4"/>
  <c r="D188" i="4" s="1"/>
  <c r="B188" i="4"/>
  <c r="P188" i="4" s="1"/>
  <c r="A188" i="4"/>
  <c r="O187" i="4"/>
  <c r="C187" i="4"/>
  <c r="B187" i="4"/>
  <c r="A187" i="4"/>
  <c r="O186" i="4"/>
  <c r="C186" i="4"/>
  <c r="D186" i="4" s="1"/>
  <c r="B186" i="4"/>
  <c r="P222" i="4" s="1"/>
  <c r="A186" i="4"/>
  <c r="C185" i="4"/>
  <c r="D185" i="4" s="1"/>
  <c r="B185" i="4"/>
  <c r="O221" i="4" s="1"/>
  <c r="A185" i="4"/>
  <c r="O184" i="4"/>
  <c r="C184" i="4"/>
  <c r="D184" i="4" s="1"/>
  <c r="B184" i="4"/>
  <c r="O220" i="4" s="1"/>
  <c r="A184" i="4"/>
  <c r="C183" i="4"/>
  <c r="D183" i="4" s="1"/>
  <c r="B183" i="4"/>
  <c r="A183" i="4"/>
  <c r="O182" i="4"/>
  <c r="C182" i="4"/>
  <c r="D218" i="4" s="1"/>
  <c r="B182" i="4"/>
  <c r="A182" i="4"/>
  <c r="N178" i="4"/>
  <c r="N275" i="4" s="1"/>
  <c r="N354" i="4" s="1"/>
  <c r="M178" i="4"/>
  <c r="M275" i="4" s="1"/>
  <c r="M354" i="4" s="1"/>
  <c r="L178" i="4"/>
  <c r="L275" i="4" s="1"/>
  <c r="L354" i="4" s="1"/>
  <c r="K178" i="4"/>
  <c r="K275" i="4" s="1"/>
  <c r="K354" i="4" s="1"/>
  <c r="J178" i="4"/>
  <c r="J275" i="4" s="1"/>
  <c r="J354" i="4" s="1"/>
  <c r="I178" i="4"/>
  <c r="H178" i="4"/>
  <c r="H275" i="4" s="1"/>
  <c r="H354" i="4" s="1"/>
  <c r="G178" i="4"/>
  <c r="G275" i="4" s="1"/>
  <c r="F178" i="4"/>
  <c r="F275" i="4" s="1"/>
  <c r="F354" i="4" s="1"/>
  <c r="E178" i="4"/>
  <c r="O177" i="4"/>
  <c r="P175" i="4"/>
  <c r="O175" i="4"/>
  <c r="O174" i="4"/>
  <c r="O173" i="4"/>
  <c r="O172" i="4"/>
  <c r="P171" i="4"/>
  <c r="O170" i="4"/>
  <c r="P169" i="4"/>
  <c r="P167" i="4"/>
  <c r="O167" i="4"/>
  <c r="O166" i="4"/>
  <c r="O164" i="4"/>
  <c r="P163" i="4"/>
  <c r="A162" i="4"/>
  <c r="D161" i="4"/>
  <c r="C161" i="4"/>
  <c r="B161" i="4"/>
  <c r="A161" i="4"/>
  <c r="D160" i="4"/>
  <c r="C160" i="4"/>
  <c r="B160" i="4"/>
  <c r="A160" i="4"/>
  <c r="P159" i="4"/>
  <c r="O159" i="4"/>
  <c r="D159" i="4"/>
  <c r="C159" i="4"/>
  <c r="B159" i="4"/>
  <c r="P177" i="4" s="1"/>
  <c r="A159" i="4"/>
  <c r="C158" i="4"/>
  <c r="B158" i="4"/>
  <c r="A158" i="4"/>
  <c r="D157" i="4"/>
  <c r="C157" i="4"/>
  <c r="B157" i="4"/>
  <c r="A157" i="4"/>
  <c r="P156" i="4"/>
  <c r="D156" i="4"/>
  <c r="C156" i="4"/>
  <c r="B156" i="4"/>
  <c r="P174" i="4" s="1"/>
  <c r="A156" i="4"/>
  <c r="P155" i="4"/>
  <c r="D155" i="4"/>
  <c r="C155" i="4"/>
  <c r="B155" i="4"/>
  <c r="P173" i="4" s="1"/>
  <c r="A155" i="4"/>
  <c r="P154" i="4"/>
  <c r="C154" i="4"/>
  <c r="B154" i="4"/>
  <c r="P172" i="4" s="1"/>
  <c r="A154" i="4"/>
  <c r="D153" i="4"/>
  <c r="C153" i="4"/>
  <c r="B153" i="4"/>
  <c r="O171" i="4" s="1"/>
  <c r="A153" i="4"/>
  <c r="D152" i="4"/>
  <c r="C152" i="4"/>
  <c r="B152" i="4"/>
  <c r="P170" i="4" s="1"/>
  <c r="A152" i="4"/>
  <c r="P151" i="4"/>
  <c r="O151" i="4"/>
  <c r="D151" i="4"/>
  <c r="C151" i="4"/>
  <c r="B151" i="4"/>
  <c r="O169" i="4" s="1"/>
  <c r="A151" i="4"/>
  <c r="C150" i="4"/>
  <c r="B150" i="4"/>
  <c r="A150" i="4"/>
  <c r="D149" i="4"/>
  <c r="C149" i="4"/>
  <c r="B149" i="4"/>
  <c r="A149" i="4"/>
  <c r="P148" i="4"/>
  <c r="D148" i="4"/>
  <c r="C148" i="4"/>
  <c r="B148" i="4"/>
  <c r="P166" i="4" s="1"/>
  <c r="A148" i="4"/>
  <c r="P147" i="4"/>
  <c r="D147" i="4"/>
  <c r="C147" i="4"/>
  <c r="B147" i="4"/>
  <c r="P165" i="4" s="1"/>
  <c r="A147" i="4"/>
  <c r="P146" i="4"/>
  <c r="C146" i="4"/>
  <c r="B146" i="4"/>
  <c r="P164" i="4" s="1"/>
  <c r="A146" i="4"/>
  <c r="D145" i="4"/>
  <c r="C145" i="4"/>
  <c r="B145" i="4"/>
  <c r="O163" i="4" s="1"/>
  <c r="A145" i="4"/>
  <c r="D144" i="4"/>
  <c r="C144" i="4"/>
  <c r="B144" i="4"/>
  <c r="A144" i="4"/>
  <c r="P143" i="4"/>
  <c r="O143" i="4"/>
  <c r="D143" i="4"/>
  <c r="C143" i="4"/>
  <c r="B143" i="4"/>
  <c r="P161" i="4" s="1"/>
  <c r="A143" i="4"/>
  <c r="C142" i="4"/>
  <c r="B142" i="4"/>
  <c r="A142" i="4"/>
  <c r="D141" i="4"/>
  <c r="C141" i="4"/>
  <c r="B141" i="4"/>
  <c r="A141" i="4"/>
  <c r="P140" i="4"/>
  <c r="D140" i="4"/>
  <c r="C140" i="4"/>
  <c r="D158" i="4" s="1"/>
  <c r="B140" i="4"/>
  <c r="O158" i="4" s="1"/>
  <c r="A140" i="4"/>
  <c r="P139" i="4"/>
  <c r="D139" i="4"/>
  <c r="C139" i="4"/>
  <c r="B139" i="4"/>
  <c r="P157" i="4" s="1"/>
  <c r="A139" i="4"/>
  <c r="P138" i="4"/>
  <c r="C138" i="4"/>
  <c r="B138" i="4"/>
  <c r="O156" i="4" s="1"/>
  <c r="A138" i="4"/>
  <c r="O137" i="4"/>
  <c r="D137" i="4"/>
  <c r="C137" i="4"/>
  <c r="B137" i="4"/>
  <c r="O155" i="4" s="1"/>
  <c r="A137" i="4"/>
  <c r="D136" i="4"/>
  <c r="C136" i="4"/>
  <c r="D154" i="4" s="1"/>
  <c r="B136" i="4"/>
  <c r="O154" i="4" s="1"/>
  <c r="A136" i="4"/>
  <c r="P135" i="4"/>
  <c r="O135" i="4"/>
  <c r="D135" i="4"/>
  <c r="C135" i="4"/>
  <c r="B135" i="4"/>
  <c r="P153" i="4" s="1"/>
  <c r="A135" i="4"/>
  <c r="C134" i="4"/>
  <c r="B134" i="4"/>
  <c r="A134" i="4"/>
  <c r="D133" i="4"/>
  <c r="C133" i="4"/>
  <c r="B133" i="4"/>
  <c r="A133" i="4"/>
  <c r="D132" i="4"/>
  <c r="C132" i="4"/>
  <c r="D150" i="4" s="1"/>
  <c r="B132" i="4"/>
  <c r="O150" i="4" s="1"/>
  <c r="A132" i="4"/>
  <c r="P131" i="4"/>
  <c r="D131" i="4"/>
  <c r="C131" i="4"/>
  <c r="B131" i="4"/>
  <c r="P149" i="4" s="1"/>
  <c r="A131" i="4"/>
  <c r="P130" i="4"/>
  <c r="D130" i="4"/>
  <c r="C130" i="4"/>
  <c r="B130" i="4"/>
  <c r="O148" i="4" s="1"/>
  <c r="A130" i="4"/>
  <c r="D129" i="4"/>
  <c r="C129" i="4"/>
  <c r="B129" i="4"/>
  <c r="O147" i="4" s="1"/>
  <c r="A129" i="4"/>
  <c r="D128" i="4"/>
  <c r="C128" i="4"/>
  <c r="D146" i="4" s="1"/>
  <c r="B128" i="4"/>
  <c r="O146" i="4" s="1"/>
  <c r="A128" i="4"/>
  <c r="D127" i="4"/>
  <c r="C127" i="4"/>
  <c r="B127" i="4"/>
  <c r="P145" i="4" s="1"/>
  <c r="A127" i="4"/>
  <c r="C126" i="4"/>
  <c r="B126" i="4"/>
  <c r="A126" i="4"/>
  <c r="D125" i="4"/>
  <c r="C125" i="4"/>
  <c r="B125" i="4"/>
  <c r="A125" i="4"/>
  <c r="D124" i="4"/>
  <c r="C124" i="4"/>
  <c r="D142" i="4" s="1"/>
  <c r="B124" i="4"/>
  <c r="O142" i="4" s="1"/>
  <c r="A124" i="4"/>
  <c r="D123" i="4"/>
  <c r="C123" i="4"/>
  <c r="B123" i="4"/>
  <c r="P141" i="4" s="1"/>
  <c r="A123" i="4"/>
  <c r="D122" i="4"/>
  <c r="C122" i="4"/>
  <c r="B122" i="4"/>
  <c r="O140" i="4" s="1"/>
  <c r="A122" i="4"/>
  <c r="O121" i="4"/>
  <c r="D121" i="4"/>
  <c r="C121" i="4"/>
  <c r="B121" i="4"/>
  <c r="O139" i="4" s="1"/>
  <c r="A121" i="4"/>
  <c r="P120" i="4"/>
  <c r="O120" i="4"/>
  <c r="D120" i="4"/>
  <c r="C120" i="4"/>
  <c r="D138" i="4" s="1"/>
  <c r="B120" i="4"/>
  <c r="O138" i="4" s="1"/>
  <c r="A120" i="4"/>
  <c r="P119" i="4"/>
  <c r="O119" i="4"/>
  <c r="D119" i="4"/>
  <c r="C119" i="4"/>
  <c r="B119" i="4"/>
  <c r="P137" i="4" s="1"/>
  <c r="A119" i="4"/>
  <c r="P118" i="4"/>
  <c r="O118" i="4"/>
  <c r="D118" i="4"/>
  <c r="C118" i="4"/>
  <c r="B118" i="4"/>
  <c r="O136" i="4" s="1"/>
  <c r="A118" i="4"/>
  <c r="D117" i="4"/>
  <c r="C117" i="4"/>
  <c r="B117" i="4"/>
  <c r="A117" i="4"/>
  <c r="D116" i="4"/>
  <c r="C116" i="4"/>
  <c r="D134" i="4" s="1"/>
  <c r="B116" i="4"/>
  <c r="O134" i="4" s="1"/>
  <c r="A116" i="4"/>
  <c r="P115" i="4"/>
  <c r="O115" i="4"/>
  <c r="C115" i="4"/>
  <c r="B115" i="4"/>
  <c r="P133" i="4" s="1"/>
  <c r="A115" i="4"/>
  <c r="C114" i="4"/>
  <c r="B114" i="4"/>
  <c r="O132" i="4" s="1"/>
  <c r="A114" i="4"/>
  <c r="O113" i="4"/>
  <c r="D113" i="4"/>
  <c r="C113" i="4"/>
  <c r="B113" i="4"/>
  <c r="O131" i="4" s="1"/>
  <c r="A113" i="4"/>
  <c r="D112" i="4"/>
  <c r="C112" i="4"/>
  <c r="B112" i="4"/>
  <c r="O130" i="4" s="1"/>
  <c r="A112" i="4"/>
  <c r="P111" i="4"/>
  <c r="D111" i="4"/>
  <c r="C111" i="4"/>
  <c r="B111" i="4"/>
  <c r="P129" i="4" s="1"/>
  <c r="A111" i="4"/>
  <c r="P110" i="4"/>
  <c r="C110" i="4"/>
  <c r="B110" i="4"/>
  <c r="O128" i="4" s="1"/>
  <c r="A110" i="4"/>
  <c r="P109" i="4"/>
  <c r="O109" i="4"/>
  <c r="C109" i="4"/>
  <c r="B109" i="4"/>
  <c r="O127" i="4" s="1"/>
  <c r="A109" i="4"/>
  <c r="C108" i="4"/>
  <c r="D126" i="4" s="1"/>
  <c r="B108" i="4"/>
  <c r="O126" i="4" s="1"/>
  <c r="A108" i="4"/>
  <c r="P107" i="4"/>
  <c r="O107" i="4"/>
  <c r="D107" i="4"/>
  <c r="C107" i="4"/>
  <c r="B107" i="4"/>
  <c r="P125" i="4" s="1"/>
  <c r="A107" i="4"/>
  <c r="P106" i="4"/>
  <c r="C106" i="4"/>
  <c r="B106" i="4"/>
  <c r="O124" i="4" s="1"/>
  <c r="A106" i="4"/>
  <c r="O105" i="4"/>
  <c r="C105" i="4"/>
  <c r="B105" i="4"/>
  <c r="O123" i="4" s="1"/>
  <c r="A105" i="4"/>
  <c r="C104" i="4"/>
  <c r="B104" i="4"/>
  <c r="O122" i="4" s="1"/>
  <c r="A104" i="4"/>
  <c r="P103" i="4"/>
  <c r="C103" i="4"/>
  <c r="B103" i="4"/>
  <c r="A103" i="4"/>
  <c r="P98" i="4"/>
  <c r="C98" i="4"/>
  <c r="D98" i="4" s="1"/>
  <c r="B98" i="4"/>
  <c r="A98" i="4"/>
  <c r="O97" i="4"/>
  <c r="C97" i="4"/>
  <c r="D115" i="4" s="1"/>
  <c r="B97" i="4"/>
  <c r="P97" i="4" s="1"/>
  <c r="A97" i="4"/>
  <c r="P96" i="4"/>
  <c r="O96" i="4"/>
  <c r="C96" i="4"/>
  <c r="B96" i="4"/>
  <c r="O114" i="4" s="1"/>
  <c r="A96" i="4"/>
  <c r="O95" i="4"/>
  <c r="D95" i="4"/>
  <c r="C95" i="4"/>
  <c r="B95" i="4"/>
  <c r="P113" i="4" s="1"/>
  <c r="A95" i="4"/>
  <c r="P94" i="4"/>
  <c r="C94" i="4"/>
  <c r="D94" i="4" s="1"/>
  <c r="B94" i="4"/>
  <c r="O112" i="4" s="1"/>
  <c r="A94" i="4"/>
  <c r="O93" i="4"/>
  <c r="C93" i="4"/>
  <c r="D93" i="4" s="1"/>
  <c r="B93" i="4"/>
  <c r="O111" i="4" s="1"/>
  <c r="A93" i="4"/>
  <c r="P92" i="4"/>
  <c r="O92" i="4"/>
  <c r="C92" i="4"/>
  <c r="D92" i="4" s="1"/>
  <c r="B92" i="4"/>
  <c r="O110" i="4" s="1"/>
  <c r="A92" i="4"/>
  <c r="O91" i="4"/>
  <c r="D91" i="4"/>
  <c r="C91" i="4"/>
  <c r="D109" i="4" s="1"/>
  <c r="B91" i="4"/>
  <c r="P91" i="4" s="1"/>
  <c r="A91" i="4"/>
  <c r="P90" i="4"/>
  <c r="C90" i="4"/>
  <c r="D90" i="4" s="1"/>
  <c r="B90" i="4"/>
  <c r="A90" i="4"/>
  <c r="O89" i="4"/>
  <c r="C89" i="4"/>
  <c r="D89" i="4" s="1"/>
  <c r="B89" i="4"/>
  <c r="P89" i="4" s="1"/>
  <c r="A89" i="4"/>
  <c r="P88" i="4"/>
  <c r="O88" i="4"/>
  <c r="C88" i="4"/>
  <c r="B88" i="4"/>
  <c r="O106" i="4" s="1"/>
  <c r="A88" i="4"/>
  <c r="O87" i="4"/>
  <c r="D87" i="4"/>
  <c r="C87" i="4"/>
  <c r="D105" i="4" s="1"/>
  <c r="B87" i="4"/>
  <c r="P105" i="4" s="1"/>
  <c r="A87" i="4"/>
  <c r="P86" i="4"/>
  <c r="C86" i="4"/>
  <c r="D86" i="4" s="1"/>
  <c r="B86" i="4"/>
  <c r="O104" i="4" s="1"/>
  <c r="A86" i="4"/>
  <c r="O85" i="4"/>
  <c r="C85" i="4"/>
  <c r="D103" i="4" s="1"/>
  <c r="B85" i="4"/>
  <c r="A85" i="4"/>
  <c r="N81" i="4"/>
  <c r="N356" i="4" s="1"/>
  <c r="M81" i="4"/>
  <c r="M356" i="4" s="1"/>
  <c r="L81" i="4"/>
  <c r="L356" i="4" s="1"/>
  <c r="K81" i="4"/>
  <c r="K356" i="4" s="1"/>
  <c r="J81" i="4"/>
  <c r="J356" i="4" s="1"/>
  <c r="I81" i="4"/>
  <c r="I356" i="4" s="1"/>
  <c r="H81" i="4"/>
  <c r="H356" i="4" s="1"/>
  <c r="G81" i="4"/>
  <c r="G356" i="4" s="1"/>
  <c r="F81" i="4"/>
  <c r="F356" i="4" s="1"/>
  <c r="E81" i="4"/>
  <c r="E356" i="4" s="1"/>
  <c r="P80" i="4"/>
  <c r="O80" i="4"/>
  <c r="C80" i="4"/>
  <c r="D80" i="4" s="1"/>
  <c r="B80" i="4"/>
  <c r="A80" i="4"/>
  <c r="O79" i="4"/>
  <c r="D79" i="4"/>
  <c r="C79" i="4"/>
  <c r="B79" i="4"/>
  <c r="P79" i="4" s="1"/>
  <c r="A79" i="4"/>
  <c r="P78" i="4"/>
  <c r="C78" i="4"/>
  <c r="D78" i="4" s="1"/>
  <c r="B78" i="4"/>
  <c r="O78" i="4" s="1"/>
  <c r="A78" i="4"/>
  <c r="O77" i="4"/>
  <c r="C77" i="4"/>
  <c r="D77" i="4" s="1"/>
  <c r="B77" i="4"/>
  <c r="P77" i="4" s="1"/>
  <c r="A77" i="4"/>
  <c r="P76" i="4"/>
  <c r="O76" i="4"/>
  <c r="C76" i="4"/>
  <c r="D76" i="4" s="1"/>
  <c r="B76" i="4"/>
  <c r="A76" i="4"/>
  <c r="O75" i="4"/>
  <c r="D75" i="4"/>
  <c r="C75" i="4"/>
  <c r="B75" i="4"/>
  <c r="P75" i="4" s="1"/>
  <c r="A75" i="4"/>
  <c r="P74" i="4"/>
  <c r="C74" i="4"/>
  <c r="D74" i="4" s="1"/>
  <c r="B74" i="4"/>
  <c r="O74" i="4" s="1"/>
  <c r="A74" i="4"/>
  <c r="O73" i="4"/>
  <c r="C73" i="4"/>
  <c r="D73" i="4" s="1"/>
  <c r="B73" i="4"/>
  <c r="P73" i="4" s="1"/>
  <c r="A73" i="4"/>
  <c r="P72" i="4"/>
  <c r="O72" i="4"/>
  <c r="C72" i="4"/>
  <c r="D72" i="4" s="1"/>
  <c r="B72" i="4"/>
  <c r="A72" i="4"/>
  <c r="O71" i="4"/>
  <c r="D71" i="4"/>
  <c r="C71" i="4"/>
  <c r="B71" i="4"/>
  <c r="P71" i="4" s="1"/>
  <c r="A71" i="4"/>
  <c r="P70" i="4"/>
  <c r="C70" i="4"/>
  <c r="D70" i="4" s="1"/>
  <c r="B70" i="4"/>
  <c r="O70" i="4" s="1"/>
  <c r="A70" i="4"/>
  <c r="O69" i="4"/>
  <c r="C69" i="4"/>
  <c r="D69" i="4" s="1"/>
  <c r="B69" i="4"/>
  <c r="P69" i="4" s="1"/>
  <c r="A69" i="4"/>
  <c r="P68" i="4"/>
  <c r="O68" i="4"/>
  <c r="C68" i="4"/>
  <c r="D68" i="4" s="1"/>
  <c r="B68" i="4"/>
  <c r="A68" i="4"/>
  <c r="O67" i="4"/>
  <c r="D67" i="4"/>
  <c r="C67" i="4"/>
  <c r="B67" i="4"/>
  <c r="P67" i="4" s="1"/>
  <c r="A67" i="4"/>
  <c r="P66" i="4"/>
  <c r="C66" i="4"/>
  <c r="D66" i="4" s="1"/>
  <c r="B66" i="4"/>
  <c r="O66" i="4" s="1"/>
  <c r="A66" i="4"/>
  <c r="O65" i="4"/>
  <c r="C65" i="4"/>
  <c r="D65" i="4" s="1"/>
  <c r="B65" i="4"/>
  <c r="P65" i="4" s="1"/>
  <c r="A65" i="4"/>
  <c r="P64" i="4"/>
  <c r="O64" i="4"/>
  <c r="C64" i="4"/>
  <c r="D64" i="4" s="1"/>
  <c r="B64" i="4"/>
  <c r="A64" i="4"/>
  <c r="O63" i="4"/>
  <c r="D63" i="4"/>
  <c r="C63" i="4"/>
  <c r="B63" i="4"/>
  <c r="P63" i="4" s="1"/>
  <c r="A63" i="4"/>
  <c r="P62" i="4"/>
  <c r="C62" i="4"/>
  <c r="D62" i="4" s="1"/>
  <c r="B62" i="4"/>
  <c r="O62" i="4" s="1"/>
  <c r="A62" i="4"/>
  <c r="O61" i="4"/>
  <c r="C61" i="4"/>
  <c r="D61" i="4" s="1"/>
  <c r="B61" i="4"/>
  <c r="P61" i="4" s="1"/>
  <c r="A61" i="4"/>
  <c r="P60" i="4"/>
  <c r="O60" i="4"/>
  <c r="C60" i="4"/>
  <c r="D60" i="4" s="1"/>
  <c r="B60" i="4"/>
  <c r="A60" i="4"/>
  <c r="O59" i="4"/>
  <c r="D59" i="4"/>
  <c r="C59" i="4"/>
  <c r="B59" i="4"/>
  <c r="P59" i="4" s="1"/>
  <c r="A59" i="4"/>
  <c r="P58" i="4"/>
  <c r="C58" i="4"/>
  <c r="D58" i="4" s="1"/>
  <c r="B58" i="4"/>
  <c r="O58" i="4" s="1"/>
  <c r="A58" i="4"/>
  <c r="O57" i="4"/>
  <c r="C57" i="4"/>
  <c r="D57" i="4" s="1"/>
  <c r="B57" i="4"/>
  <c r="P57" i="4" s="1"/>
  <c r="A57" i="4"/>
  <c r="P56" i="4"/>
  <c r="O56" i="4"/>
  <c r="C56" i="4"/>
  <c r="D56" i="4" s="1"/>
  <c r="B56" i="4"/>
  <c r="A56" i="4"/>
  <c r="O55" i="4"/>
  <c r="D55" i="4"/>
  <c r="C55" i="4"/>
  <c r="B55" i="4"/>
  <c r="P55" i="4" s="1"/>
  <c r="A55" i="4"/>
  <c r="P54" i="4"/>
  <c r="C54" i="4"/>
  <c r="D54" i="4" s="1"/>
  <c r="B54" i="4"/>
  <c r="O54" i="4" s="1"/>
  <c r="A54" i="4"/>
  <c r="O53" i="4"/>
  <c r="C53" i="4"/>
  <c r="D53" i="4" s="1"/>
  <c r="B53" i="4"/>
  <c r="P53" i="4" s="1"/>
  <c r="A53" i="4"/>
  <c r="P52" i="4"/>
  <c r="O52" i="4"/>
  <c r="C52" i="4"/>
  <c r="D52" i="4" s="1"/>
  <c r="B52" i="4"/>
  <c r="A52" i="4"/>
  <c r="O51" i="4"/>
  <c r="D51" i="4"/>
  <c r="C51" i="4"/>
  <c r="B51" i="4"/>
  <c r="P51" i="4" s="1"/>
  <c r="A51" i="4"/>
  <c r="P50" i="4"/>
  <c r="C50" i="4"/>
  <c r="D50" i="4" s="1"/>
  <c r="B50" i="4"/>
  <c r="O50" i="4" s="1"/>
  <c r="A50" i="4"/>
  <c r="O49" i="4"/>
  <c r="C49" i="4"/>
  <c r="D49" i="4" s="1"/>
  <c r="B49" i="4"/>
  <c r="P49" i="4" s="1"/>
  <c r="A49" i="4"/>
  <c r="P48" i="4"/>
  <c r="O48" i="4"/>
  <c r="C48" i="4"/>
  <c r="D48" i="4" s="1"/>
  <c r="B48" i="4"/>
  <c r="A48" i="4"/>
  <c r="O47" i="4"/>
  <c r="D47" i="4"/>
  <c r="C47" i="4"/>
  <c r="B47" i="4"/>
  <c r="P47" i="4" s="1"/>
  <c r="A47" i="4"/>
  <c r="P46" i="4"/>
  <c r="C46" i="4"/>
  <c r="D46" i="4" s="1"/>
  <c r="B46" i="4"/>
  <c r="O46" i="4" s="1"/>
  <c r="A46" i="4"/>
  <c r="O45" i="4"/>
  <c r="C45" i="4"/>
  <c r="D45" i="4" s="1"/>
  <c r="B45" i="4"/>
  <c r="P45" i="4" s="1"/>
  <c r="A45" i="4"/>
  <c r="P44" i="4"/>
  <c r="O44" i="4"/>
  <c r="C44" i="4"/>
  <c r="D44" i="4" s="1"/>
  <c r="B44" i="4"/>
  <c r="A44" i="4"/>
  <c r="O43" i="4"/>
  <c r="D43" i="4"/>
  <c r="C43" i="4"/>
  <c r="B43" i="4"/>
  <c r="P43" i="4" s="1"/>
  <c r="A43" i="4"/>
  <c r="P42" i="4"/>
  <c r="C42" i="4"/>
  <c r="D42" i="4" s="1"/>
  <c r="B42" i="4"/>
  <c r="O42" i="4" s="1"/>
  <c r="A42" i="4"/>
  <c r="O41" i="4"/>
  <c r="C41" i="4"/>
  <c r="D41" i="4" s="1"/>
  <c r="B41" i="4"/>
  <c r="P41" i="4" s="1"/>
  <c r="A41" i="4"/>
  <c r="P40" i="4"/>
  <c r="O40" i="4"/>
  <c r="C40" i="4"/>
  <c r="D40" i="4" s="1"/>
  <c r="B40" i="4"/>
  <c r="A40" i="4"/>
  <c r="O39" i="4"/>
  <c r="D39" i="4"/>
  <c r="C39" i="4"/>
  <c r="B39" i="4"/>
  <c r="P39" i="4" s="1"/>
  <c r="A39" i="4"/>
  <c r="P38" i="4"/>
  <c r="C38" i="4"/>
  <c r="D38" i="4" s="1"/>
  <c r="B38" i="4"/>
  <c r="O38" i="4" s="1"/>
  <c r="A38" i="4"/>
  <c r="O37" i="4"/>
  <c r="C37" i="4"/>
  <c r="D37" i="4" s="1"/>
  <c r="B37" i="4"/>
  <c r="P37" i="4" s="1"/>
  <c r="A37" i="4"/>
  <c r="P36" i="4"/>
  <c r="O36" i="4"/>
  <c r="C36" i="4"/>
  <c r="D36" i="4" s="1"/>
  <c r="B36" i="4"/>
  <c r="A36" i="4"/>
  <c r="O35" i="4"/>
  <c r="D35" i="4"/>
  <c r="C35" i="4"/>
  <c r="B35" i="4"/>
  <c r="P35" i="4" s="1"/>
  <c r="A35" i="4"/>
  <c r="P34" i="4"/>
  <c r="C34" i="4"/>
  <c r="D34" i="4" s="1"/>
  <c r="B34" i="4"/>
  <c r="O34" i="4" s="1"/>
  <c r="A34" i="4"/>
  <c r="O33" i="4"/>
  <c r="C33" i="4"/>
  <c r="D33" i="4" s="1"/>
  <c r="B33" i="4"/>
  <c r="P33" i="4" s="1"/>
  <c r="A33" i="4"/>
  <c r="P32" i="4"/>
  <c r="O32" i="4"/>
  <c r="C32" i="4"/>
  <c r="D32" i="4" s="1"/>
  <c r="B32" i="4"/>
  <c r="A32" i="4"/>
  <c r="O31" i="4"/>
  <c r="D31" i="4"/>
  <c r="C31" i="4"/>
  <c r="B31" i="4"/>
  <c r="P31" i="4" s="1"/>
  <c r="A31" i="4"/>
  <c r="P30" i="4"/>
  <c r="C30" i="4"/>
  <c r="D30" i="4" s="1"/>
  <c r="B30" i="4"/>
  <c r="O30" i="4" s="1"/>
  <c r="A30" i="4"/>
  <c r="O29" i="4"/>
  <c r="C29" i="4"/>
  <c r="D29" i="4" s="1"/>
  <c r="B29" i="4"/>
  <c r="P29" i="4" s="1"/>
  <c r="A29" i="4"/>
  <c r="P28" i="4"/>
  <c r="O28" i="4"/>
  <c r="C28" i="4"/>
  <c r="D28" i="4" s="1"/>
  <c r="B28" i="4"/>
  <c r="A28" i="4"/>
  <c r="O27" i="4"/>
  <c r="D27" i="4"/>
  <c r="C27" i="4"/>
  <c r="B27" i="4"/>
  <c r="P27" i="4" s="1"/>
  <c r="A27" i="4"/>
  <c r="P26" i="4"/>
  <c r="C26" i="4"/>
  <c r="D26" i="4" s="1"/>
  <c r="B26" i="4"/>
  <c r="O26" i="4" s="1"/>
  <c r="A26" i="4"/>
  <c r="O25" i="4"/>
  <c r="C25" i="4"/>
  <c r="D25" i="4" s="1"/>
  <c r="B25" i="4"/>
  <c r="A25" i="4"/>
  <c r="F34" i="7" s="1"/>
  <c r="P24" i="4"/>
  <c r="O24" i="4"/>
  <c r="C24" i="4"/>
  <c r="D24" i="4" s="1"/>
  <c r="B24" i="4"/>
  <c r="A24" i="4"/>
  <c r="O23" i="4"/>
  <c r="D23" i="4"/>
  <c r="C23" i="4"/>
  <c r="B23" i="4"/>
  <c r="P23" i="4" s="1"/>
  <c r="A23" i="4"/>
  <c r="P22" i="4"/>
  <c r="C22" i="4"/>
  <c r="D22" i="4" s="1"/>
  <c r="B22" i="4"/>
  <c r="O22" i="4" s="1"/>
  <c r="A22" i="4"/>
  <c r="O21" i="4"/>
  <c r="C21" i="4"/>
  <c r="D21" i="4" s="1"/>
  <c r="B21" i="4"/>
  <c r="P21" i="4" s="1"/>
  <c r="A21" i="4"/>
  <c r="P20" i="4"/>
  <c r="O20" i="4"/>
  <c r="C20" i="4"/>
  <c r="D20" i="4" s="1"/>
  <c r="B20" i="4"/>
  <c r="A20" i="4"/>
  <c r="F33" i="7" s="1"/>
  <c r="O19" i="4"/>
  <c r="D19" i="4"/>
  <c r="C19" i="4"/>
  <c r="B19" i="4"/>
  <c r="A19" i="4"/>
  <c r="F32" i="7" s="1"/>
  <c r="P18" i="4"/>
  <c r="C18" i="4"/>
  <c r="D18" i="4" s="1"/>
  <c r="B18" i="4"/>
  <c r="O18" i="4" s="1"/>
  <c r="A18" i="4"/>
  <c r="O17" i="4"/>
  <c r="C17" i="4"/>
  <c r="D17" i="4" s="1"/>
  <c r="B17" i="4"/>
  <c r="P17" i="4" s="1"/>
  <c r="A17" i="4"/>
  <c r="P16" i="4"/>
  <c r="O16" i="4"/>
  <c r="C16" i="4"/>
  <c r="D16" i="4" s="1"/>
  <c r="B16" i="4"/>
  <c r="A16" i="4"/>
  <c r="O15" i="4"/>
  <c r="D15" i="4"/>
  <c r="C15" i="4"/>
  <c r="B15" i="4"/>
  <c r="P15" i="4" s="1"/>
  <c r="A15" i="4"/>
  <c r="C14" i="4"/>
  <c r="D14" i="4" s="1"/>
  <c r="B14" i="4"/>
  <c r="O14" i="4" s="1"/>
  <c r="P14" i="4" s="1"/>
  <c r="A14" i="4"/>
  <c r="O13" i="4"/>
  <c r="C13" i="4"/>
  <c r="D13" i="4" s="1"/>
  <c r="B13" i="4"/>
  <c r="P13" i="4" s="1"/>
  <c r="A13" i="4"/>
  <c r="O12" i="4"/>
  <c r="P12" i="4" s="1"/>
  <c r="C12" i="4"/>
  <c r="D12" i="4" s="1"/>
  <c r="B12" i="4"/>
  <c r="A12" i="4"/>
  <c r="F31" i="7" s="1"/>
  <c r="O11" i="4"/>
  <c r="D11" i="4"/>
  <c r="C11" i="4"/>
  <c r="B11" i="4"/>
  <c r="A11" i="4"/>
  <c r="F30" i="7" s="1"/>
  <c r="C10" i="4"/>
  <c r="D10" i="4" s="1"/>
  <c r="B10" i="4"/>
  <c r="A10" i="4"/>
  <c r="F29" i="7" s="1"/>
  <c r="O9" i="4"/>
  <c r="C9" i="4"/>
  <c r="D9" i="4" s="1"/>
  <c r="B9" i="4"/>
  <c r="A9" i="4"/>
  <c r="F28" i="7" s="1"/>
  <c r="O8" i="4"/>
  <c r="P8" i="4" s="1"/>
  <c r="C8" i="4"/>
  <c r="D8" i="4" s="1"/>
  <c r="B8" i="4"/>
  <c r="A8" i="4"/>
  <c r="F27" i="7" s="1"/>
  <c r="O7" i="4"/>
  <c r="D7" i="4"/>
  <c r="C7" i="4"/>
  <c r="B7" i="4"/>
  <c r="A7" i="4"/>
  <c r="F26" i="7" s="1"/>
  <c r="C6" i="4"/>
  <c r="D6" i="4" s="1"/>
  <c r="B6" i="4"/>
  <c r="A6" i="4"/>
  <c r="F25" i="7" s="1"/>
  <c r="B295" i="3"/>
  <c r="B4" i="11" s="1"/>
  <c r="B293" i="3"/>
  <c r="N292" i="3"/>
  <c r="L292" i="3"/>
  <c r="N291" i="3"/>
  <c r="L291" i="3"/>
  <c r="N290" i="3"/>
  <c r="L290" i="3"/>
  <c r="N289" i="3"/>
  <c r="L289" i="3"/>
  <c r="N288" i="3"/>
  <c r="L288" i="3"/>
  <c r="N287" i="3"/>
  <c r="L287" i="3"/>
  <c r="N286" i="3"/>
  <c r="L286" i="3"/>
  <c r="N285" i="3"/>
  <c r="L285" i="3"/>
  <c r="N284" i="3"/>
  <c r="L284" i="3"/>
  <c r="N283" i="3"/>
  <c r="L283" i="3"/>
  <c r="N282" i="3"/>
  <c r="L282" i="3"/>
  <c r="N281" i="3"/>
  <c r="L281" i="3"/>
  <c r="N280" i="3"/>
  <c r="L280" i="3"/>
  <c r="N279" i="3"/>
  <c r="L279" i="3"/>
  <c r="N278" i="3"/>
  <c r="L278" i="3"/>
  <c r="N277" i="3"/>
  <c r="L277" i="3"/>
  <c r="N276" i="3"/>
  <c r="L276" i="3"/>
  <c r="N275" i="3"/>
  <c r="L275" i="3"/>
  <c r="N274" i="3"/>
  <c r="L274" i="3"/>
  <c r="N273" i="3"/>
  <c r="L273" i="3"/>
  <c r="N272" i="3"/>
  <c r="L272" i="3"/>
  <c r="N271" i="3"/>
  <c r="L271" i="3"/>
  <c r="N270" i="3"/>
  <c r="L270" i="3"/>
  <c r="N269" i="3"/>
  <c r="L269" i="3"/>
  <c r="N268" i="3"/>
  <c r="L268" i="3"/>
  <c r="N267" i="3"/>
  <c r="L267" i="3"/>
  <c r="N266" i="3"/>
  <c r="L266" i="3"/>
  <c r="N265" i="3"/>
  <c r="L265" i="3"/>
  <c r="N264" i="3"/>
  <c r="L264" i="3"/>
  <c r="N263" i="3"/>
  <c r="L263" i="3"/>
  <c r="N262" i="3"/>
  <c r="L262" i="3"/>
  <c r="N261" i="3"/>
  <c r="L261" i="3"/>
  <c r="N260" i="3"/>
  <c r="L260" i="3"/>
  <c r="N259" i="3"/>
  <c r="L259" i="3"/>
  <c r="N258" i="3"/>
  <c r="L258" i="3"/>
  <c r="N257" i="3"/>
  <c r="L257" i="3"/>
  <c r="N256" i="3"/>
  <c r="L256" i="3"/>
  <c r="N255" i="3"/>
  <c r="L255" i="3"/>
  <c r="N254" i="3"/>
  <c r="L254" i="3"/>
  <c r="L253" i="3"/>
  <c r="B249" i="3"/>
  <c r="N248" i="3"/>
  <c r="L248" i="3"/>
  <c r="N247" i="3"/>
  <c r="L247" i="3"/>
  <c r="N246" i="3"/>
  <c r="L246" i="3"/>
  <c r="N245" i="3"/>
  <c r="L245" i="3"/>
  <c r="N244" i="3"/>
  <c r="L244" i="3"/>
  <c r="N243" i="3"/>
  <c r="L243" i="3"/>
  <c r="N242" i="3"/>
  <c r="L242" i="3"/>
  <c r="N241" i="3"/>
  <c r="L241" i="3"/>
  <c r="N240" i="3"/>
  <c r="L240" i="3"/>
  <c r="N239" i="3"/>
  <c r="L239" i="3"/>
  <c r="N238" i="3"/>
  <c r="L238" i="3"/>
  <c r="N237" i="3"/>
  <c r="L237" i="3"/>
  <c r="N236" i="3"/>
  <c r="L236" i="3"/>
  <c r="N235" i="3"/>
  <c r="L235" i="3"/>
  <c r="N234" i="3"/>
  <c r="L234" i="3"/>
  <c r="N233" i="3"/>
  <c r="L233" i="3"/>
  <c r="N232" i="3"/>
  <c r="L232" i="3"/>
  <c r="N231" i="3"/>
  <c r="L231" i="3"/>
  <c r="N230" i="3"/>
  <c r="L230" i="3"/>
  <c r="N229" i="3"/>
  <c r="L229" i="3"/>
  <c r="N228" i="3"/>
  <c r="L228" i="3"/>
  <c r="N227" i="3"/>
  <c r="L227" i="3"/>
  <c r="N226" i="3"/>
  <c r="L226" i="3"/>
  <c r="N225" i="3"/>
  <c r="L225" i="3"/>
  <c r="N224" i="3"/>
  <c r="L224" i="3"/>
  <c r="N223" i="3"/>
  <c r="L223" i="3"/>
  <c r="N222" i="3"/>
  <c r="L222" i="3"/>
  <c r="N221" i="3"/>
  <c r="L221" i="3"/>
  <c r="N220" i="3"/>
  <c r="L220" i="3"/>
  <c r="N219" i="3"/>
  <c r="L219" i="3"/>
  <c r="N218" i="3"/>
  <c r="L218" i="3"/>
  <c r="N217" i="3"/>
  <c r="L217" i="3"/>
  <c r="N216" i="3"/>
  <c r="L216" i="3"/>
  <c r="N215" i="3"/>
  <c r="L215" i="3"/>
  <c r="N214" i="3"/>
  <c r="L214" i="3"/>
  <c r="N213" i="3"/>
  <c r="L213" i="3"/>
  <c r="N212" i="3"/>
  <c r="L212" i="3"/>
  <c r="N211" i="3"/>
  <c r="L211" i="3"/>
  <c r="L210" i="3"/>
  <c r="L249" i="3" s="1"/>
  <c r="D18" i="1" s="1"/>
  <c r="B207" i="3"/>
  <c r="N206" i="3"/>
  <c r="L206" i="3"/>
  <c r="N205" i="3"/>
  <c r="L205" i="3"/>
  <c r="N204" i="3"/>
  <c r="L204" i="3"/>
  <c r="N203" i="3"/>
  <c r="L203" i="3"/>
  <c r="N202" i="3"/>
  <c r="L202" i="3"/>
  <c r="N201" i="3"/>
  <c r="L201" i="3"/>
  <c r="N200" i="3"/>
  <c r="L200" i="3"/>
  <c r="N199" i="3"/>
  <c r="L199" i="3"/>
  <c r="N198" i="3"/>
  <c r="L198" i="3"/>
  <c r="N197" i="3"/>
  <c r="L197" i="3"/>
  <c r="N196" i="3"/>
  <c r="L196" i="3"/>
  <c r="N195" i="3"/>
  <c r="L195" i="3"/>
  <c r="N194" i="3"/>
  <c r="L194" i="3"/>
  <c r="N193" i="3"/>
  <c r="L193" i="3"/>
  <c r="L192" i="3"/>
  <c r="B188" i="3"/>
  <c r="N187" i="3"/>
  <c r="L187" i="3"/>
  <c r="N186" i="3"/>
  <c r="L186" i="3"/>
  <c r="N185" i="3"/>
  <c r="L185" i="3"/>
  <c r="N184" i="3"/>
  <c r="L184" i="3"/>
  <c r="N183" i="3"/>
  <c r="L183" i="3"/>
  <c r="N182" i="3"/>
  <c r="L182" i="3"/>
  <c r="N181" i="3"/>
  <c r="L181" i="3"/>
  <c r="N180" i="3"/>
  <c r="L180" i="3"/>
  <c r="N179" i="3"/>
  <c r="L179" i="3"/>
  <c r="N178" i="3"/>
  <c r="L178" i="3"/>
  <c r="N177" i="3"/>
  <c r="L177" i="3"/>
  <c r="N176" i="3"/>
  <c r="L176" i="3"/>
  <c r="N175" i="3"/>
  <c r="L175" i="3"/>
  <c r="N174" i="3"/>
  <c r="L174" i="3"/>
  <c r="N173" i="3"/>
  <c r="L173" i="3"/>
  <c r="N172" i="3"/>
  <c r="L172" i="3"/>
  <c r="N171" i="3"/>
  <c r="L171" i="3"/>
  <c r="N170" i="3"/>
  <c r="L170" i="3"/>
  <c r="N169" i="3"/>
  <c r="L169" i="3"/>
  <c r="N168" i="3"/>
  <c r="L168" i="3"/>
  <c r="N167" i="3"/>
  <c r="L167" i="3"/>
  <c r="N166" i="3"/>
  <c r="L166" i="3"/>
  <c r="N165" i="3"/>
  <c r="L165" i="3"/>
  <c r="N164" i="3"/>
  <c r="L164" i="3"/>
  <c r="N163" i="3"/>
  <c r="L163" i="3"/>
  <c r="N162" i="3"/>
  <c r="L162" i="3"/>
  <c r="N161" i="3"/>
  <c r="L161" i="3"/>
  <c r="N160" i="3"/>
  <c r="L160" i="3"/>
  <c r="N159" i="3"/>
  <c r="L159" i="3"/>
  <c r="N158" i="3"/>
  <c r="L158" i="3"/>
  <c r="N157" i="3"/>
  <c r="L157" i="3"/>
  <c r="N156" i="3"/>
  <c r="L156" i="3"/>
  <c r="N155" i="3"/>
  <c r="L155" i="3"/>
  <c r="N154" i="3"/>
  <c r="L154" i="3"/>
  <c r="N153" i="3"/>
  <c r="L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N139" i="3"/>
  <c r="L139" i="3"/>
  <c r="N138" i="3"/>
  <c r="L138" i="3"/>
  <c r="N137" i="3"/>
  <c r="L137" i="3"/>
  <c r="N136" i="3"/>
  <c r="L136" i="3"/>
  <c r="N135" i="3"/>
  <c r="L135" i="3"/>
  <c r="N134" i="3"/>
  <c r="L134" i="3"/>
  <c r="N133" i="3"/>
  <c r="L133" i="3"/>
  <c r="L132" i="3"/>
  <c r="N132" i="3" s="1"/>
  <c r="L131" i="3"/>
  <c r="N131" i="3" s="1"/>
  <c r="L130" i="3"/>
  <c r="L129" i="3"/>
  <c r="N129" i="3" s="1"/>
  <c r="B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N117" i="3"/>
  <c r="L117" i="3"/>
  <c r="N116" i="3"/>
  <c r="L116" i="3"/>
  <c r="N115" i="3"/>
  <c r="L115" i="3"/>
  <c r="N114" i="3"/>
  <c r="L114" i="3"/>
  <c r="N113" i="3"/>
  <c r="L113" i="3"/>
  <c r="N112" i="3"/>
  <c r="L112" i="3"/>
  <c r="N111" i="3"/>
  <c r="L111" i="3"/>
  <c r="L110" i="3"/>
  <c r="N110" i="3" s="1"/>
  <c r="N125" i="3" s="1"/>
  <c r="E15" i="1" s="1"/>
  <c r="B106" i="3"/>
  <c r="N105" i="3"/>
  <c r="L105" i="3"/>
  <c r="N104" i="3"/>
  <c r="L104" i="3"/>
  <c r="N103" i="3"/>
  <c r="L103" i="3"/>
  <c r="N102" i="3"/>
  <c r="L102" i="3"/>
  <c r="N101" i="3"/>
  <c r="L101" i="3"/>
  <c r="N100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L85" i="3"/>
  <c r="N84" i="3"/>
  <c r="L84" i="3"/>
  <c r="N83" i="3"/>
  <c r="L83" i="3"/>
  <c r="N82" i="3"/>
  <c r="L82" i="3"/>
  <c r="N81" i="3"/>
  <c r="L81" i="3"/>
  <c r="N80" i="3"/>
  <c r="L80" i="3"/>
  <c r="N79" i="3"/>
  <c r="L79" i="3"/>
  <c r="N78" i="3"/>
  <c r="L78" i="3"/>
  <c r="N77" i="3"/>
  <c r="L77" i="3"/>
  <c r="N76" i="3"/>
  <c r="L76" i="3"/>
  <c r="N75" i="3"/>
  <c r="L75" i="3"/>
  <c r="N74" i="3"/>
  <c r="L74" i="3"/>
  <c r="N73" i="3"/>
  <c r="L73" i="3"/>
  <c r="N72" i="3"/>
  <c r="L72" i="3"/>
  <c r="N71" i="3"/>
  <c r="L71" i="3"/>
  <c r="N70" i="3"/>
  <c r="L70" i="3"/>
  <c r="N69" i="3"/>
  <c r="L69" i="3"/>
  <c r="N68" i="3"/>
  <c r="L68" i="3"/>
  <c r="N67" i="3"/>
  <c r="L67" i="3"/>
  <c r="N66" i="3"/>
  <c r="L66" i="3"/>
  <c r="N65" i="3"/>
  <c r="L65" i="3"/>
  <c r="N64" i="3"/>
  <c r="L64" i="3"/>
  <c r="N63" i="3"/>
  <c r="L63" i="3"/>
  <c r="N62" i="3"/>
  <c r="L62" i="3"/>
  <c r="N61" i="3"/>
  <c r="L61" i="3"/>
  <c r="N60" i="3"/>
  <c r="L60" i="3"/>
  <c r="N59" i="3"/>
  <c r="L59" i="3"/>
  <c r="N58" i="3"/>
  <c r="L58" i="3"/>
  <c r="N57" i="3"/>
  <c r="L57" i="3"/>
  <c r="N56" i="3"/>
  <c r="L56" i="3"/>
  <c r="N55" i="3"/>
  <c r="L55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E19" i="7" s="1"/>
  <c r="L17" i="3"/>
  <c r="N16" i="3"/>
  <c r="E18" i="7" s="1"/>
  <c r="L16" i="3"/>
  <c r="N15" i="3"/>
  <c r="E17" i="7" s="1"/>
  <c r="L15" i="3"/>
  <c r="L14" i="3"/>
  <c r="N14" i="3" s="1"/>
  <c r="E16" i="7" s="1"/>
  <c r="L13" i="3"/>
  <c r="L12" i="3"/>
  <c r="N12" i="3" s="1"/>
  <c r="E14" i="7" s="1"/>
  <c r="L11" i="3"/>
  <c r="N11" i="3" s="1"/>
  <c r="E13" i="7" s="1"/>
  <c r="L10" i="3"/>
  <c r="N10" i="3" s="1"/>
  <c r="E12" i="7" s="1"/>
  <c r="L9" i="3"/>
  <c r="N9" i="3" s="1"/>
  <c r="E11" i="7" s="1"/>
  <c r="L8" i="3"/>
  <c r="N8" i="3" s="1"/>
  <c r="E10" i="7" s="1"/>
  <c r="L7" i="3"/>
  <c r="N7" i="3" s="1"/>
  <c r="E9" i="7" s="1"/>
  <c r="L6" i="3"/>
  <c r="N6" i="3" s="1"/>
  <c r="D35" i="1"/>
  <c r="C35" i="1"/>
  <c r="D34" i="1"/>
  <c r="C34" i="1"/>
  <c r="D32" i="1"/>
  <c r="C26" i="1"/>
  <c r="C24" i="1"/>
  <c r="C18" i="1"/>
  <c r="C17" i="1"/>
  <c r="C16" i="1"/>
  <c r="C15" i="1"/>
  <c r="C19" i="1" s="1"/>
  <c r="C14" i="1"/>
  <c r="K10" i="1"/>
  <c r="B10" i="1"/>
  <c r="D6" i="1"/>
  <c r="D5" i="1"/>
  <c r="L188" i="3" l="1"/>
  <c r="D16" i="1" s="1"/>
  <c r="L207" i="3"/>
  <c r="D17" i="1" s="1"/>
  <c r="L106" i="3"/>
  <c r="D14" i="1" s="1"/>
  <c r="N13" i="3"/>
  <c r="E15" i="7" s="1"/>
  <c r="P123" i="4"/>
  <c r="D114" i="4"/>
  <c r="D96" i="4"/>
  <c r="O219" i="4"/>
  <c r="P183" i="4"/>
  <c r="O227" i="4"/>
  <c r="P191" i="4"/>
  <c r="O229" i="4"/>
  <c r="P229" i="4"/>
  <c r="P221" i="4"/>
  <c r="N192" i="3"/>
  <c r="N207" i="3" s="1"/>
  <c r="E17" i="1" s="1"/>
  <c r="D25" i="7"/>
  <c r="G25" i="7"/>
  <c r="O144" i="4"/>
  <c r="P144" i="4"/>
  <c r="P127" i="4"/>
  <c r="O152" i="4"/>
  <c r="P152" i="4"/>
  <c r="O160" i="4"/>
  <c r="P160" i="4"/>
  <c r="P168" i="4"/>
  <c r="O168" i="4"/>
  <c r="P176" i="4"/>
  <c r="O176" i="4"/>
  <c r="D182" i="4"/>
  <c r="D190" i="4"/>
  <c r="P274" i="4"/>
  <c r="O274" i="4"/>
  <c r="O321" i="4"/>
  <c r="P321" i="4"/>
  <c r="O327" i="4"/>
  <c r="P327" i="4"/>
  <c r="O335" i="4"/>
  <c r="P335" i="4"/>
  <c r="O343" i="4"/>
  <c r="P343" i="4"/>
  <c r="P345" i="4"/>
  <c r="D85" i="4"/>
  <c r="D97" i="4"/>
  <c r="D104" i="4"/>
  <c r="P122" i="4" s="1"/>
  <c r="P124" i="4"/>
  <c r="P132" i="4"/>
  <c r="O145" i="4"/>
  <c r="O153" i="4"/>
  <c r="O161" i="4"/>
  <c r="B178" i="4"/>
  <c r="O183" i="4"/>
  <c r="O196" i="4" s="1"/>
  <c r="O185" i="4"/>
  <c r="O223" i="4"/>
  <c r="P187" i="4"/>
  <c r="O225" i="4"/>
  <c r="P225" i="4"/>
  <c r="O191" i="4"/>
  <c r="O193" i="4"/>
  <c r="O231" i="4"/>
  <c r="P195" i="4"/>
  <c r="P218" i="4"/>
  <c r="D219" i="4"/>
  <c r="O257" i="4"/>
  <c r="P269" i="4"/>
  <c r="P315" i="4"/>
  <c r="P317" i="4"/>
  <c r="P333" i="4"/>
  <c r="P347" i="4"/>
  <c r="D106" i="4"/>
  <c r="D88" i="4"/>
  <c r="P262" i="4"/>
  <c r="O262" i="4"/>
  <c r="P227" i="4"/>
  <c r="O351" i="4"/>
  <c r="P351" i="4"/>
  <c r="O353" i="4"/>
  <c r="P353" i="4"/>
  <c r="N210" i="3"/>
  <c r="N249" i="3" s="1"/>
  <c r="E18" i="1" s="1"/>
  <c r="L293" i="3"/>
  <c r="N253" i="3"/>
  <c r="N293" i="3" s="1"/>
  <c r="D29" i="7"/>
  <c r="G29" i="7"/>
  <c r="O108" i="4"/>
  <c r="P108" i="4"/>
  <c r="O116" i="4"/>
  <c r="P116" i="4"/>
  <c r="B196" i="4"/>
  <c r="P256" i="4"/>
  <c r="O256" i="4"/>
  <c r="O319" i="4"/>
  <c r="P319" i="4"/>
  <c r="O331" i="4"/>
  <c r="P331" i="4"/>
  <c r="O341" i="4"/>
  <c r="P341" i="4"/>
  <c r="P329" i="4"/>
  <c r="E8" i="7"/>
  <c r="L125" i="3"/>
  <c r="D15" i="1" s="1"/>
  <c r="D108" i="4"/>
  <c r="P112" i="4"/>
  <c r="O129" i="4"/>
  <c r="N106" i="3"/>
  <c r="N130" i="3"/>
  <c r="N188" i="3" s="1"/>
  <c r="E16" i="1" s="1"/>
  <c r="O6" i="4"/>
  <c r="D27" i="7"/>
  <c r="G27" i="7"/>
  <c r="O10" i="4"/>
  <c r="P10" i="4" s="1"/>
  <c r="D31" i="7"/>
  <c r="G31" i="7"/>
  <c r="D33" i="7"/>
  <c r="G33" i="7"/>
  <c r="B81" i="4"/>
  <c r="O86" i="4"/>
  <c r="O90" i="4"/>
  <c r="O94" i="4"/>
  <c r="O98" i="4"/>
  <c r="P104" i="4"/>
  <c r="D110" i="4"/>
  <c r="P114" i="4"/>
  <c r="O125" i="4"/>
  <c r="P126" i="4"/>
  <c r="O133" i="4"/>
  <c r="P134" i="4"/>
  <c r="O141" i="4"/>
  <c r="P142" i="4"/>
  <c r="O149" i="4"/>
  <c r="P150" i="4"/>
  <c r="O157" i="4"/>
  <c r="P158" i="4"/>
  <c r="O165" i="4"/>
  <c r="O275" i="4" s="1"/>
  <c r="P185" i="4"/>
  <c r="D223" i="4"/>
  <c r="D187" i="4"/>
  <c r="P193" i="4"/>
  <c r="D194" i="4"/>
  <c r="D231" i="4"/>
  <c r="D195" i="4"/>
  <c r="P242" i="4"/>
  <c r="O242" i="4"/>
  <c r="P244" i="4"/>
  <c r="O244" i="4"/>
  <c r="P246" i="4"/>
  <c r="O246" i="4"/>
  <c r="P248" i="4"/>
  <c r="O248" i="4"/>
  <c r="P250" i="4"/>
  <c r="O250" i="4"/>
  <c r="P252" i="4"/>
  <c r="O252" i="4"/>
  <c r="P254" i="4"/>
  <c r="O254" i="4"/>
  <c r="P219" i="4"/>
  <c r="D220" i="4"/>
  <c r="D227" i="4"/>
  <c r="P268" i="4"/>
  <c r="O268" i="4"/>
  <c r="P270" i="4"/>
  <c r="O270" i="4"/>
  <c r="P272" i="4"/>
  <c r="O272" i="4"/>
  <c r="O238" i="4"/>
  <c r="O240" i="4"/>
  <c r="O271" i="4"/>
  <c r="P323" i="4"/>
  <c r="P337" i="4"/>
  <c r="P349" i="4"/>
  <c r="B106" i="5"/>
  <c r="I30" i="12"/>
  <c r="D26" i="7"/>
  <c r="G26" i="7"/>
  <c r="P7" i="4"/>
  <c r="D28" i="7"/>
  <c r="G28" i="7"/>
  <c r="P9" i="4"/>
  <c r="D30" i="7"/>
  <c r="G30" i="7"/>
  <c r="P11" i="4"/>
  <c r="D32" i="7"/>
  <c r="G32" i="7"/>
  <c r="P19" i="4"/>
  <c r="D34" i="7"/>
  <c r="G34" i="7"/>
  <c r="P25" i="4"/>
  <c r="B99" i="4"/>
  <c r="P85" i="4"/>
  <c r="P87" i="4"/>
  <c r="P93" i="4"/>
  <c r="P95" i="4"/>
  <c r="O103" i="4"/>
  <c r="P121" i="4" s="1"/>
  <c r="P128" i="4"/>
  <c r="P136" i="4"/>
  <c r="P182" i="4"/>
  <c r="D221" i="4"/>
  <c r="P260" i="4"/>
  <c r="O260" i="4"/>
  <c r="D225" i="4"/>
  <c r="P264" i="4"/>
  <c r="O264" i="4"/>
  <c r="B8" i="11"/>
  <c r="B5" i="9"/>
  <c r="C23" i="1" s="1"/>
  <c r="C6" i="8"/>
  <c r="D33" i="1" s="1"/>
  <c r="P184" i="4"/>
  <c r="P186" i="4"/>
  <c r="P192" i="4"/>
  <c r="P194" i="4"/>
  <c r="P237" i="4"/>
  <c r="O237" i="4"/>
  <c r="P239" i="4"/>
  <c r="O239" i="4"/>
  <c r="P258" i="4"/>
  <c r="O258" i="4"/>
  <c r="P266" i="4"/>
  <c r="O266" i="4"/>
  <c r="E275" i="4"/>
  <c r="O316" i="4"/>
  <c r="O318" i="4"/>
  <c r="O320" i="4"/>
  <c r="O322" i="4"/>
  <c r="O324" i="4"/>
  <c r="O326" i="4"/>
  <c r="O328" i="4"/>
  <c r="O330" i="4"/>
  <c r="O332" i="4"/>
  <c r="O334" i="4"/>
  <c r="O336" i="4"/>
  <c r="O338" i="4"/>
  <c r="O340" i="4"/>
  <c r="O342" i="4"/>
  <c r="O344" i="4"/>
  <c r="O346" i="4"/>
  <c r="O348" i="4"/>
  <c r="O350" i="4"/>
  <c r="O352" i="4"/>
  <c r="B188" i="5"/>
  <c r="B250" i="5" s="1"/>
  <c r="B294" i="5" s="1"/>
  <c r="B35" i="6"/>
  <c r="D26" i="6"/>
  <c r="L24" i="6"/>
  <c r="L26" i="6" s="1"/>
  <c r="J24" i="6"/>
  <c r="L17" i="6"/>
  <c r="C20" i="13"/>
  <c r="K24" i="12"/>
  <c r="D17" i="6"/>
  <c r="B5" i="8" l="1"/>
  <c r="F5" i="8" s="1"/>
  <c r="E21" i="7"/>
  <c r="E42" i="7" s="1"/>
  <c r="O354" i="4"/>
  <c r="B4" i="8"/>
  <c r="L295" i="3"/>
  <c r="N295" i="3"/>
  <c r="E14" i="1"/>
  <c r="P232" i="4"/>
  <c r="O232" i="4"/>
  <c r="B275" i="4"/>
  <c r="O214" i="4"/>
  <c r="D35" i="6"/>
  <c r="F62" i="6" s="1"/>
  <c r="C10" i="8"/>
  <c r="O117" i="4"/>
  <c r="O99" i="4"/>
  <c r="O178" i="4" s="1"/>
  <c r="P214" i="4" s="1"/>
  <c r="C23" i="13"/>
  <c r="K28" i="12"/>
  <c r="K30" i="12" s="1"/>
  <c r="L35" i="6"/>
  <c r="L62" i="6" s="1"/>
  <c r="O81" i="4"/>
  <c r="O356" i="4" s="1"/>
  <c r="P6" i="4"/>
  <c r="F6" i="8"/>
  <c r="E354" i="4"/>
  <c r="C39" i="1"/>
  <c r="C32" i="1" l="1"/>
  <c r="P117" i="4"/>
  <c r="O311" i="4"/>
  <c r="B354" i="4"/>
  <c r="P311" i="4"/>
  <c r="D19" i="1"/>
  <c r="G10" i="1"/>
  <c r="B10" i="8"/>
  <c r="F4" i="8"/>
  <c r="C31" i="1"/>
  <c r="C40" i="1"/>
  <c r="B5" i="11"/>
  <c r="B4" i="9"/>
  <c r="B6" i="1"/>
  <c r="E19" i="1"/>
  <c r="K6" i="1"/>
  <c r="K5" i="1"/>
  <c r="B356" i="4"/>
  <c r="B8" i="9" l="1"/>
  <c r="C22" i="1"/>
  <c r="H4" i="8"/>
  <c r="F10" i="8"/>
  <c r="H5" i="8" l="1"/>
  <c r="E31" i="1"/>
  <c r="B25" i="9"/>
  <c r="C25" i="1"/>
  <c r="B11" i="11" l="1"/>
  <c r="B11" i="10"/>
  <c r="G6" i="1"/>
  <c r="H6" i="8"/>
  <c r="E32" i="1"/>
  <c r="B4" i="10" l="1"/>
  <c r="B7" i="10" s="1"/>
  <c r="B12" i="10" s="1"/>
  <c r="H7" i="8"/>
  <c r="D10" i="1"/>
  <c r="E33" i="1"/>
  <c r="B13" i="10"/>
  <c r="H8" i="8" l="1"/>
  <c r="E34" i="1"/>
  <c r="H9" i="8" l="1"/>
  <c r="H10" i="8" s="1"/>
  <c r="B12" i="11" s="1"/>
  <c r="E35" i="1"/>
</calcChain>
</file>

<file path=xl/sharedStrings.xml><?xml version="1.0" encoding="utf-8"?>
<sst xmlns="http://schemas.openxmlformats.org/spreadsheetml/2006/main" count="979" uniqueCount="378">
  <si>
    <t>DASHBOARD FINANCEIRO ESCOLAR  |  École Consulaire du Congo - Luanda  |  2026/2027</t>
  </si>
  <si>
    <t>Valores atualizados automaticamente a partir do Controlo de Propinas, Mensalidades, Fluxo de Caixa e DRE</t>
  </si>
  <si>
    <t>TOTAL INSCRICOES (c/ desc.)</t>
  </si>
  <si>
    <t>RESULTADO LIQUIDO (DRE)</t>
  </si>
  <si>
    <t>ALUNOS INSCRITOS</t>
  </si>
  <si>
    <t>SALDO DE CAIXA</t>
  </si>
  <si>
    <t>DESCONTOS CONCEDIDOS</t>
  </si>
  <si>
    <t>TAXA COBRANCA SET/26</t>
  </si>
  <si>
    <t>RECEITAS POR GRUPO (Inscricoes c/ desconto)</t>
  </si>
  <si>
    <t>Grupo</t>
  </si>
  <si>
    <t>Alunos</t>
  </si>
  <si>
    <t>Valor Bruto</t>
  </si>
  <si>
    <t>Valor c/ Desc.</t>
  </si>
  <si>
    <t>Maternelle</t>
  </si>
  <si>
    <t>CM1</t>
  </si>
  <si>
    <t>CM2</t>
  </si>
  <si>
    <t>6eme</t>
  </si>
  <si>
    <t>4eme</t>
  </si>
  <si>
    <t>TOTAL</t>
  </si>
  <si>
    <t>DRE RESUMIDO</t>
  </si>
  <si>
    <t>Proveitos de Inscricoes</t>
  </si>
  <si>
    <t>Proveitos de Propinas</t>
  </si>
  <si>
    <t>Outros Proveitos</t>
  </si>
  <si>
    <t>TOTAL PROVEITOS</t>
  </si>
  <si>
    <t>TOTAL CUSTOS</t>
  </si>
  <si>
    <t>RESULTADO LIQUIDO</t>
  </si>
  <si>
    <t>FLUXO DE CAIXA (resumo mensal)</t>
  </si>
  <si>
    <t>Mes</t>
  </si>
  <si>
    <t>Inscricoes</t>
  </si>
  <si>
    <t>Propinas</t>
  </si>
  <si>
    <t>Saldo Acum.</t>
  </si>
  <si>
    <t>Jul/26</t>
  </si>
  <si>
    <t>Ago/26</t>
  </si>
  <si>
    <t>Set/26</t>
  </si>
  <si>
    <t>Out/26</t>
  </si>
  <si>
    <t>Nov/26</t>
  </si>
  <si>
    <t>Dez/26</t>
  </si>
  <si>
    <t>STATUS MENSALIDADES (Setembro)</t>
  </si>
  <si>
    <t>Alunos com pagamento em Set/26</t>
  </si>
  <si>
    <t>Alunos pendentes (Setembro)</t>
  </si>
  <si>
    <t>Valor recebido em Setembro</t>
  </si>
  <si>
    <t>DESCONTOS POR PARENTESCO</t>
  </si>
  <si>
    <t>Familias com 2 irmaos (10%)</t>
  </si>
  <si>
    <t>Sebastiao da Silva | Calei da Costa | Bernardo Clementino</t>
  </si>
  <si>
    <t>Filhos unicos (0%)</t>
  </si>
  <si>
    <t>Gael, Wendy, Pedro, Kaila</t>
  </si>
  <si>
    <t>Total descontos concedidos (KZ)</t>
  </si>
  <si>
    <t>NOTA: Todos os valores sao calculados automaticamente. Atualize Controlo de Propinas ou Mensalidades para refletir alteracoes no Dashboard.</t>
  </si>
  <si>
    <t>Ecole Consulaire du Congo (Brazzaville) de Luanda  •  Escola consular – Isenta de impostos  •  Dashboard financeiro</t>
  </si>
  <si>
    <t>PLANO GERAL DE CONTABILIDADE (PGC)</t>
  </si>
  <si>
    <t>CÓDIGO</t>
  </si>
  <si>
    <t>DESCRIÇÃO</t>
  </si>
  <si>
    <t>Imobilizações Corpóreas</t>
  </si>
  <si>
    <t>Clientes (Alunos)</t>
  </si>
  <si>
    <t>Pessoal</t>
  </si>
  <si>
    <t>Bancos</t>
  </si>
  <si>
    <t>Compras / Manuais Escolares</t>
  </si>
  <si>
    <t>Despesas com Atividades Extracurriculares</t>
  </si>
  <si>
    <t>Custo Pessoal</t>
  </si>
  <si>
    <t>Proveitos de propinas</t>
  </si>
  <si>
    <t>Proveitos Atividades Extra</t>
  </si>
  <si>
    <t xml:space="preserve">CONTROLO DE INSCRIÇÕES / MATRÍCULAS – 2026/2027  </t>
  </si>
  <si>
    <t>Amarelo = preencher  |  Verde = calculado  |  Desconto: 2 irmãos 10% • 3=15% • 4+=20%  |  A4 landscape</t>
  </si>
  <si>
    <t>▶ MATERNELLE</t>
  </si>
  <si>
    <t>ID</t>
  </si>
  <si>
    <t>Nome Aluno</t>
  </si>
  <si>
    <t>Turma</t>
  </si>
  <si>
    <t>Inscrição</t>
  </si>
  <si>
    <t>Manuais</t>
  </si>
  <si>
    <t>Uniforme</t>
  </si>
  <si>
    <t>Seguro</t>
  </si>
  <si>
    <t>Ativ. Extras</t>
  </si>
  <si>
    <t>Curso Intensivo</t>
  </si>
  <si>
    <t>1ª Mensal.</t>
  </si>
  <si>
    <t>Data Pag.</t>
  </si>
  <si>
    <t>Desc. %</t>
  </si>
  <si>
    <t>Observações</t>
  </si>
  <si>
    <t>P1-01</t>
  </si>
  <si>
    <t>Hazail Epandi Calei da Costa</t>
  </si>
  <si>
    <t>P1-02</t>
  </si>
  <si>
    <t>Erick Libânio Sebastião da Silva</t>
  </si>
  <si>
    <t>Maternelle P1</t>
  </si>
  <si>
    <t>P2-03</t>
  </si>
  <si>
    <t>Eloa Marina Sebastião da Silva</t>
  </si>
  <si>
    <t>Maternelle P2</t>
  </si>
  <si>
    <t>P2-04</t>
  </si>
  <si>
    <t>Ivander Trindade Bernardo Clementino</t>
  </si>
  <si>
    <t>P3-05</t>
  </si>
  <si>
    <t>Gael Hanji Ventura Quimbundo</t>
  </si>
  <si>
    <t>Maternelle P3</t>
  </si>
  <si>
    <t>P3-06</t>
  </si>
  <si>
    <t>Ivanna Chayane Bernardo Clementino</t>
  </si>
  <si>
    <t>P3-07</t>
  </si>
  <si>
    <t>Wendy Aryanne Chimuco Sabino</t>
  </si>
  <si>
    <t>P1-08</t>
  </si>
  <si>
    <t>Kesane Aimé Teixeira Correia de Azevedo</t>
  </si>
  <si>
    <t>P3-09</t>
  </si>
  <si>
    <t>Kuami Hazael Francisco Venâncio</t>
  </si>
  <si>
    <t>Subtotal</t>
  </si>
  <si>
    <t>▶ CM1</t>
  </si>
  <si>
    <t>CM1-01</t>
  </si>
  <si>
    <t>Crisber Uluwami António Cristovão De Sousa</t>
  </si>
  <si>
    <t>CM1-02</t>
  </si>
  <si>
    <t>▶ CM2</t>
  </si>
  <si>
    <t>CM2-01</t>
  </si>
  <si>
    <t>Kaila Abigail Katata da Silva</t>
  </si>
  <si>
    <t>CM2-02</t>
  </si>
  <si>
    <t>Pedro Henriques Simão dos Santos</t>
  </si>
  <si>
    <t>CM2-03</t>
  </si>
  <si>
    <t>Keane António Teixeira Correia de Azevedo</t>
  </si>
  <si>
    <t>CM2-04</t>
  </si>
  <si>
    <t>Márcio Uzziel Francisco Venâncio</t>
  </si>
  <si>
    <t>▶ 6EME (Sixième)</t>
  </si>
  <si>
    <t>6E-01</t>
  </si>
  <si>
    <t>Imayami Suriel António Cristovão De Sousa</t>
  </si>
  <si>
    <t>▶ 4EME</t>
  </si>
  <si>
    <t>4E-01</t>
  </si>
  <si>
    <t>Nathaniel Dialude Calei da Costa</t>
  </si>
  <si>
    <t>▶ OUTROS</t>
  </si>
  <si>
    <t>3E-01</t>
  </si>
  <si>
    <t>Belangela Nito Daniel Kanvadioko</t>
  </si>
  <si>
    <t>3ème</t>
  </si>
  <si>
    <t>TOTAL GERAL</t>
  </si>
  <si>
    <t xml:space="preserve">CONTROLO DE MENSALIDADES – 2026/2027  </t>
  </si>
  <si>
    <t>Ligado ao Controlo de Propinas  |  Amarelo = pago no mês  |  Verde = calculado  |  Status: Pendente / Parcial / Pago  |  A4 landscape</t>
  </si>
  <si>
    <t>▶ MATERNELLE  (até 75 alunos)</t>
  </si>
  <si>
    <t>Propina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</si>
  <si>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</si>
  <si>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</si>
  <si>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</si>
  <si>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</si>
  <si>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</si>
  <si>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</si>
  <si>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</si>
  <si>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</si>
  <si>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</si>
  <si>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</si>
  <si>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Total</t>
  </si>
  <si>
    <t>Status</t>
  </si>
  <si>
    <t>Obs.</t>
  </si>
  <si>
    <t>▶ CM1  (até 75 alunos)</t>
  </si>
  <si>
    <t>▶ CM2  (até 75 alunos)</t>
  </si>
  <si>
    <t>▶ 6EME (Sixième)  (até 75 alunos)</t>
  </si>
  <si>
    <t>▶ 4EME  (até 75 alunos)</t>
  </si>
  <si>
    <t>▶ OUTROS  (até 75 alunos)</t>
  </si>
  <si>
    <t xml:space="preserve">CADASTRO DE ALUNOS – 2026/2027  </t>
  </si>
  <si>
    <t>Verde = puxado do Controlo de Propinas  |  Amarelo = preencher (Responsável, Contacto, Endereço, Alergias, Medicação)</t>
  </si>
  <si>
    <t>Responsável</t>
  </si>
  <si>
    <t>Contacto</t>
  </si>
  <si>
    <t>Data Matrícula</t>
  </si>
  <si>
    <t>Propina Mensal</t>
  </si>
  <si>
    <t>Atividades</t>
  </si>
  <si>
    <t>Endereço</t>
  </si>
  <si>
    <t>Tem Alergias?</t>
  </si>
  <si>
    <t>Quais Alergias?</t>
  </si>
  <si>
    <t>Toma Medicação?</t>
  </si>
  <si>
    <t>CONTROLO DE MANUAIS ESCOLARES – 2026/2027</t>
  </si>
  <si>
    <t>Amarelo = input manual. Verde = calculado. Ligado ao Controlo de Propinas (coluna Manuais). Organize por turma.</t>
  </si>
  <si>
    <t>Valor Manuais (KZ)</t>
  </si>
  <si>
    <t>Comprou?</t>
  </si>
  <si>
    <t>Data Compra</t>
  </si>
  <si>
    <t>Forma Pagamento</t>
  </si>
  <si>
    <t>Nº Recibo</t>
  </si>
  <si>
    <t>Valor Recebido</t>
  </si>
  <si>
    <t>Pendente</t>
  </si>
  <si>
    <t>MATERNELLE</t>
  </si>
  <si>
    <t>MAT-01</t>
  </si>
  <si>
    <t>Não</t>
  </si>
  <si>
    <t>MAT-02</t>
  </si>
  <si>
    <t>MAT-03</t>
  </si>
  <si>
    <t>MAT-04</t>
  </si>
  <si>
    <t>MAT-05</t>
  </si>
  <si>
    <t>MAT-06</t>
  </si>
  <si>
    <t>MAT-07</t>
  </si>
  <si>
    <t>MAT-08</t>
  </si>
  <si>
    <t>MAT-09</t>
  </si>
  <si>
    <t>Sim</t>
  </si>
  <si>
    <t>Cartão Multicaixa</t>
  </si>
  <si>
    <t>4EME</t>
  </si>
  <si>
    <t>NOTA: Preencha "Comprou?" com Sim/Não. Valor Manuais pode ser atualizado manualmente ou sincronizado com Controlo de Propinas. Status, Valor Recebido e Pendente são automáticos.</t>
  </si>
  <si>
    <t>Ecole Consulaire du Congo (Brazzaville) de Luanda  •  Controlo de Manuais por Turma</t>
  </si>
  <si>
    <t>▶ PROFESSORES E FUNCIONÁRIOS – VENDA DE MANUAIS (tabela independente dos alunos)</t>
  </si>
  <si>
    <t>Registo de compras de manuais por professores e funcionários da escola. Não está ligado ao Controlo de Propinas. Amarelo = preencher | Verde = calculado.</t>
  </si>
  <si>
    <t>Nº</t>
  </si>
  <si>
    <t>ID / Código</t>
  </si>
  <si>
    <t>Nome</t>
  </si>
  <si>
    <t>Categoria</t>
  </si>
  <si>
    <t>Função</t>
  </si>
  <si>
    <t>FUNC-001</t>
  </si>
  <si>
    <t>Leia</t>
  </si>
  <si>
    <t>Secretaria</t>
  </si>
  <si>
    <t>Empregada Limpeza</t>
  </si>
  <si>
    <t>Transferência</t>
  </si>
  <si>
    <t>SUBTOTAL FUNCIONÁRIOS</t>
  </si>
  <si>
    <t>TOTAL GERAL (Alunos + Funcionários)</t>
  </si>
  <si>
    <t>INSTRUÇÕES (Professores/Funcionários): 1) Preencha ID, Nome, Categoria, Função e Valor dos manuais (amarelo).  2) Em "Comprou?" selecione Sim ou Não.  3) Data, Forma de Pagamento, Nº Recibo e Observações são opcionais.  4) Status calcula-se automaticamente (Pago / Pendente / N/A).  5) Esta tabela é independente dos alunos e não altera o Controlo de Propinas.  6) Pode registar desconto em salário como forma de pagamento.</t>
  </si>
  <si>
    <t>École Consulaire du Congo (Brazzaville) de Luanda  •  Controlo de Manuais – Alunos e Pessoal</t>
  </si>
  <si>
    <t>LANÇAMENTOS CONTÁBEIS</t>
  </si>
  <si>
    <t>Gerado automaticamente a partir dos pagamentos</t>
  </si>
  <si>
    <t>INSCRIÇÕES / MATRICULAS</t>
  </si>
  <si>
    <t>Data</t>
  </si>
  <si>
    <t>Debito</t>
  </si>
  <si>
    <t>Credito</t>
  </si>
  <si>
    <t>Descricao</t>
  </si>
  <si>
    <t>Valor</t>
  </si>
  <si>
    <t>Aluno</t>
  </si>
  <si>
    <t>Ref.</t>
  </si>
  <si>
    <t>Inscricao</t>
  </si>
  <si>
    <t>TOTAL INSCRICOES</t>
  </si>
  <si>
    <t>MENSALIDADES (Setembro)</t>
  </si>
  <si>
    <t>TOTAL MENSALIDADES</t>
  </si>
  <si>
    <t>EMPRÉSTIMO / ADIANTAMENTO DO SÓCIO (Arranque)</t>
  </si>
  <si>
    <t>Fonte</t>
  </si>
  <si>
    <t>Empréstimo Sócio</t>
  </si>
  <si>
    <t>Entrada de capital do sócio (total despesas de arranque)</t>
  </si>
  <si>
    <t>FAT-001</t>
  </si>
  <si>
    <t>Adiantamentos_Emprestimos</t>
  </si>
  <si>
    <t>TOTAL EMPRÉSTIMO SÓCIO</t>
  </si>
  <si>
    <t>DESPESAS DE ARRANQUE (financiadas pelo empréstimo do sócio)</t>
  </si>
  <si>
    <t>Pintura Exterior</t>
  </si>
  <si>
    <t>Despesas de arranque – Pintura Exterior</t>
  </si>
  <si>
    <t>Arranque</t>
  </si>
  <si>
    <t>Serralharia</t>
  </si>
  <si>
    <t>Despesas de arranque – Serralharia</t>
  </si>
  <si>
    <t>Material Serralharia</t>
  </si>
  <si>
    <t>Despesas de arranque – Material Serralharia</t>
  </si>
  <si>
    <t>Mão de Obra</t>
  </si>
  <si>
    <t>Despesas de arranque – Mão de Obra</t>
  </si>
  <si>
    <t>Panfletos / Publicidade</t>
  </si>
  <si>
    <t>Despesas de arranque – Panfletos / Publicidade</t>
  </si>
  <si>
    <t>Publicidade Exterior</t>
  </si>
  <si>
    <t>Despesas de arranque – Publicidade Exterior</t>
  </si>
  <si>
    <t>Material de Escritório</t>
  </si>
  <si>
    <t>Despesas de arranque – Material de Escritório</t>
  </si>
  <si>
    <t>Equipamentos</t>
  </si>
  <si>
    <t>Despesas de arranque – Equipamentos</t>
  </si>
  <si>
    <t>Limpeza / Higiene</t>
  </si>
  <si>
    <t>Despesas de arranque – Limpeza / Higiene</t>
  </si>
  <si>
    <t>Internet / Telefone</t>
  </si>
  <si>
    <t>Despesas de arranque – Internet / Telefone</t>
  </si>
  <si>
    <t>Transporte s/ Fatura</t>
  </si>
  <si>
    <t>Despesas de arranque – Transporte s/ Fatura</t>
  </si>
  <si>
    <t>Outras Despesas</t>
  </si>
  <si>
    <t>Despesas de arranque – Outras Despesas</t>
  </si>
  <si>
    <t>Salários</t>
  </si>
  <si>
    <t>Despesas de arranque – Salários (2x limpeza Julho/26)</t>
  </si>
  <si>
    <t>Despesas de Representação</t>
  </si>
  <si>
    <t>Despesas de arranque – Almoço de negócio para o colégio</t>
  </si>
  <si>
    <t>FAT-052</t>
  </si>
  <si>
    <t>TOTAL DESPESAS ARRANQUE</t>
  </si>
  <si>
    <t>FLUXO DE CAIXA – Ano Letivo 2026/2027</t>
  </si>
  <si>
    <t>Mês</t>
  </si>
  <si>
    <t>Entradas Inscrições</t>
  </si>
  <si>
    <t>Entradas Propinas</t>
  </si>
  <si>
    <t>Entradas Extras</t>
  </si>
  <si>
    <t>Entradas Outras</t>
  </si>
  <si>
    <t>Total Entradas</t>
  </si>
  <si>
    <t>Saídas</t>
  </si>
  <si>
    <t>Saldo</t>
  </si>
  <si>
    <t>Nota: Inscrições calculadas por data de pagamento. Propinas vêm dos totais da planilha Mensalidades. Amarelo = inputs.</t>
  </si>
  <si>
    <t>DEMONSTRAÇÃO DE RESULTADOS (DRE) – Ano Letivo 2026/2027</t>
  </si>
  <si>
    <t>PROVEITOS</t>
  </si>
  <si>
    <t>Proveitos de Inscrições / Matrículas</t>
  </si>
  <si>
    <t>Proveitos de Propinas Mensais</t>
  </si>
  <si>
    <t>Proveitos Atividades Extras</t>
  </si>
  <si>
    <t>CUSTOS E DESPESAS</t>
  </si>
  <si>
    <t>Custo de Pessoal (Salários)</t>
  </si>
  <si>
    <t>Serralharia + Material Serralharia</t>
  </si>
  <si>
    <t>Mão de Obra (outras)</t>
  </si>
  <si>
    <t>Publicidade (Panfletos + Exterior)</t>
  </si>
  <si>
    <t>Limpeza / Transporte s/ Fat. / Outras</t>
  </si>
  <si>
    <t>Despesas Atividades Extracurriculares</t>
  </si>
  <si>
    <t>TOTAL CUSTOS E DESPESAS</t>
  </si>
  <si>
    <t>RESULTADO LÍQUIDO</t>
  </si>
  <si>
    <t>Nota: Proveitos de Inscrições = Controlo de Propinas (sem 1ª mensalidade). Propinas = 1ª mensalidade (Wendy) + Mensalidades. Despesas ligadas a Lançamentos Contábeis (arranque). 14 alunos inscritos.</t>
  </si>
  <si>
    <t>BALANÇO PATRIMONIAL – Simplificado</t>
  </si>
  <si>
    <t>ATIVO</t>
  </si>
  <si>
    <t>Bancos (Caixa)</t>
  </si>
  <si>
    <t>Clientes (Alunos - a receber)</t>
  </si>
  <si>
    <t>TOTAL ATIVO</t>
  </si>
  <si>
    <t>PASSIVO + PATRIMÓNIO LÍQUIDO</t>
  </si>
  <si>
    <t>Passivo (Fornecedores / Outros)</t>
  </si>
  <si>
    <t>Resultado Líquido (do DRE)</t>
  </si>
  <si>
    <t>Capital / Outros (saldo)</t>
  </si>
  <si>
    <t>TOTAL PASSIVO + PL</t>
  </si>
  <si>
    <t>RELATÓRIOS RÁPIDOS</t>
  </si>
  <si>
    <t>Resumo de Inscrições</t>
  </si>
  <si>
    <t>Nº de Alunos Inscritos</t>
  </si>
  <si>
    <t>Total Recebido em Inscrições</t>
  </si>
  <si>
    <t>Resumo Mensalidades</t>
  </si>
  <si>
    <t>Total Propinas Recebidas</t>
  </si>
  <si>
    <t>Indicadores Globais</t>
  </si>
  <si>
    <t>Resultado Líquido (DRE)</t>
  </si>
  <si>
    <t>Saldo de Caixa</t>
  </si>
  <si>
    <t>CONTROLO DE SALÁRIOS – 2026/2027</t>
  </si>
  <si>
    <t>Tabelas separadas: Professores | Administração | Pessoal Geral. Amarelo = input. Verde = calculado. Desconto = (Salário ÷ Dias Úteis) × Dias em Falta.</t>
  </si>
  <si>
    <t>PROFESSORES</t>
  </si>
  <si>
    <t>Nome Funcionário</t>
  </si>
  <si>
    <t>Salário Mensal (KZ)</t>
  </si>
  <si>
    <t>Dias Úteis</t>
  </si>
  <si>
    <t>Dias Trabalhados</t>
  </si>
  <si>
    <t>Dias em Falta</t>
  </si>
  <si>
    <t>Desconto Faltas (KZ)</t>
  </si>
  <si>
    <t>Outros Descontos</t>
  </si>
  <si>
    <t>Valor Líquido</t>
  </si>
  <si>
    <t>Data Pagamento</t>
  </si>
  <si>
    <t>SUBTOTAL</t>
  </si>
  <si>
    <t>ADMINISTRAÇÃO</t>
  </si>
  <si>
    <t>PESSOAL GERAL</t>
  </si>
  <si>
    <t>001</t>
  </si>
  <si>
    <t>Adelaide Francisco Caculo</t>
  </si>
  <si>
    <t>Julho</t>
  </si>
  <si>
    <t>002</t>
  </si>
  <si>
    <t>Teresa Nambala</t>
  </si>
  <si>
    <t>INSTRUÇÕES: Preencha ID, Nome, Função, Salário, Mês e Dias Trabalhados (amarelo). Dias em Falta, Desconto e Valor Líquido calculam-se automaticamente.</t>
  </si>
  <si>
    <t>Os adiantamentos registados na planilha "Adiantamentos" devem ser incluídos em "Outros Descontos" no mês de regularização.</t>
  </si>
  <si>
    <t>École Consulaire du Congo (Brazzaville) de Luanda  •  Controlo de Salários por categoria</t>
  </si>
  <si>
    <t>ÉCOLE CONSULAIRE DU CONGO – LUANDA</t>
  </si>
  <si>
    <t>Escola consular – Isenta de impostos</t>
  </si>
  <si>
    <t>RECIBO DE VENCIMENTO / SALÁRIO</t>
  </si>
  <si>
    <t>ID Funcionário:</t>
  </si>
  <si>
    <t>Mês:</t>
  </si>
  <si>
    <t>Nº Recibo:</t>
  </si>
  <si>
    <t>Data Emissão:</t>
  </si>
  <si>
    <t>DADOS DO FUNCIONÁRIO</t>
  </si>
  <si>
    <t>ID:</t>
  </si>
  <si>
    <t>Nome:</t>
  </si>
  <si>
    <t>Função:</t>
  </si>
  <si>
    <t>Mês Ref.:</t>
  </si>
  <si>
    <t>CÁLCULO DO VENCIMENTO</t>
  </si>
  <si>
    <t>Salário Base (Mensal):</t>
  </si>
  <si>
    <t>Dias Úteis do Mês:</t>
  </si>
  <si>
    <t>Dias Trabalhados:</t>
  </si>
  <si>
    <t>Dias em Falta:</t>
  </si>
  <si>
    <t>Desconto por Faltas:</t>
  </si>
  <si>
    <t>Outros Descontos:</t>
  </si>
  <si>
    <t>VALOR LÍQUIDO A RECEBER:</t>
  </si>
  <si>
    <t>Data de Pagamento:</t>
  </si>
  <si>
    <t>ASSINATURAS</t>
  </si>
  <si>
    <t>O Funcionário</t>
  </si>
  <si>
    <t>A Direção / Contabilidade</t>
  </si>
  <si>
    <t>____________________________</t>
  </si>
  <si>
    <t>(Nome e Assinatura)</t>
  </si>
  <si>
    <t>École Consulaire du Congo (Brazzaville) de Luanda</t>
  </si>
  <si>
    <t>CONTROLO DE ADIANTAMENTOS A FUNCIONÁRIOS – 2026/2027</t>
  </si>
  <si>
    <t>Amarelo = input. Verde = calculado. Adiantamentos de dinheiro antes do final do mês. Devem ser descontados no salário (Outros Descontos).</t>
  </si>
  <si>
    <t>Nº Vale</t>
  </si>
  <si>
    <t>ID Funcionário</t>
  </si>
  <si>
    <t>Valor (KZ)</t>
  </si>
  <si>
    <t>Data Pedido</t>
  </si>
  <si>
    <t>Data Entrega</t>
  </si>
  <si>
    <t>Mês a Descontar</t>
  </si>
  <si>
    <t>Motivo / Observações</t>
  </si>
  <si>
    <t>INSTRUÇÕES:</t>
  </si>
  <si>
    <t>1. Preencha ID, Nome, Categoria, Valor, Datas e Mês a Descontar (células amarelas).</t>
  </si>
  <si>
    <t>2. O Nº Vale (ADV-001, ADV-002...) é gerado automaticamente. Status passa a "Entregue" quando preencher Data Entrega.</t>
  </si>
  <si>
    <t>3. No mês de desconto, insira o valor do adiantamento em "Outros Descontos" na planilha Salários.</t>
  </si>
  <si>
    <t>4. Use a planilha "Vales de Adiantamento": digite o Nº Vale (ex: ADV-001) na célula amarela para gerar o recibo imprimível com data automática.</t>
  </si>
  <si>
    <t>VALE DE ADIANTAMENTO DE SALÁRIO</t>
  </si>
  <si>
    <t>Nº Vale:</t>
  </si>
  <si>
    <t>← Digite o Nº Vale (ex: ADV-001)</t>
  </si>
  <si>
    <t>DADOS DO ADIANTAMENTO</t>
  </si>
  <si>
    <t>Categoria:</t>
  </si>
  <si>
    <t>Mês a Descontar:</t>
  </si>
  <si>
    <t>Data Pedido:</t>
  </si>
  <si>
    <t>Data Entrega:</t>
  </si>
  <si>
    <t>Motivo:</t>
  </si>
  <si>
    <t>VALOR DO ADIANTAMENTO:</t>
  </si>
  <si>
    <t>Status:</t>
  </si>
  <si>
    <t>DECLARAÇÃO</t>
  </si>
  <si>
    <t>Declaro ter recebido o valor acima indicado a título de adiantamento de salário, autorizando o respetivo desconto no vencimento do mês indicado. Comprometo-me a regularizar qualquer diferença conforme o regulamento interno da escola.</t>
  </si>
  <si>
    <t>ASSINATURAS DE AUTORIZAÇÃO</t>
  </si>
  <si>
    <t>O Funcionário (Recebi)</t>
  </si>
  <si>
    <t>Responsável / Direção</t>
  </si>
  <si>
    <t>Contabilidade / Caixa</t>
  </si>
  <si>
    <t>________________________</t>
  </si>
  <si>
    <t>Data: ____/____/________</t>
  </si>
  <si>
    <t>INSTRUÇÃO: 1) Na planilha Adiantamentos preencha os dados (Nº Vale gerado automaticamente). 2) Aqui digite o Nº Vale (ex: ADV-001) na célula amarela B7. 3) Data de emissão = hoje (automática). 4) Imprima o vale.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</si>
</sst>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m/d/yyyy"/>
    <numFmt numFmtId="166" formatCode="dd\-mm\-yyyy;@"/>
    <numFmt numFmtId="167" formatCode="dd\-mm\-yyyy"/>
    <numFmt numFmtId="168" formatCode="mmm/yyyy"/>
    <numFmt numFmtId="169" formatCode="0.0%"/>
    <numFmt numFmtId="170" formatCode="#,##0&quot; KZ&quot;"/>
  </numFmts>
  <fonts count="46" x14ac:knownFonts="1">
    <font>
      <sz val="11"/>
      <color theme="1"/>
      <name val="Aptos Narrow"/>
      <family val="2"/>
      <charset val="1"/>
    </font>
    <font>
      <sz val="11"/>
      <name val="Cambria"/>
      <family val="1"/>
      <charset val="1"/>
    </font>
    <font>
      <b/>
      <sz val="16"/>
      <color rgb="FFFFFFFF"/>
      <name val="Arial"/>
      <family val="2"/>
      <charset val="1"/>
    </font>
    <font>
      <i/>
      <sz val="8"/>
      <color rgb="FF666666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8000"/>
      <name val="Arial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8"/>
      <color rgb="FF999999"/>
      <name val="Arial"/>
      <family val="2"/>
      <charset val="1"/>
    </font>
    <font>
      <b/>
      <sz val="14"/>
      <color rgb="FF1F4E79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475569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0000FF"/>
      <name val="Arial"/>
      <family val="2"/>
      <charset val="1"/>
    </font>
    <font>
      <sz val="9"/>
      <name val="Arial"/>
      <charset val="1"/>
    </font>
    <font>
      <b/>
      <sz val="9"/>
      <name val="Arial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008000"/>
      <name val="Arial"/>
      <family val="2"/>
      <charset val="1"/>
    </font>
    <font>
      <sz val="8"/>
      <name val="Arial"/>
      <family val="2"/>
      <charset val="1"/>
    </font>
    <font>
      <sz val="8"/>
      <color rgb="FF0000FF"/>
      <name val="Arial"/>
      <family val="2"/>
      <charset val="1"/>
    </font>
    <font>
      <sz val="11"/>
      <color rgb="FF0000FF"/>
      <name val="Arial"/>
      <charset val="1"/>
    </font>
    <font>
      <b/>
      <sz val="8"/>
      <name val="Arial"/>
      <family val="2"/>
      <charset val="1"/>
    </font>
    <font>
      <sz val="9"/>
      <color rgb="FF008000"/>
      <name val="Arial"/>
      <family val="2"/>
      <charset val="1"/>
    </font>
    <font>
      <sz val="9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888888"/>
      <name val="Arial"/>
      <family val="2"/>
      <charset val="1"/>
    </font>
    <font>
      <i/>
      <sz val="9"/>
      <name val="Arial"/>
      <family val="2"/>
      <charset val="1"/>
    </font>
    <font>
      <i/>
      <sz val="8"/>
      <name val="Arial"/>
      <family val="2"/>
      <charset val="1"/>
    </font>
    <font>
      <b/>
      <sz val="13"/>
      <color rgb="FF1F4E79"/>
      <name val="Arial"/>
      <family val="2"/>
      <charset val="1"/>
    </font>
    <font>
      <sz val="9"/>
      <color rgb="FF00660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1F4E79"/>
      <name val="Arial"/>
      <family val="2"/>
      <charset val="1"/>
    </font>
    <font>
      <b/>
      <sz val="16"/>
      <color rgb="FF1F4E79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8"/>
      <color rgb="FF0F766E"/>
      <name val="Arial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27AE60"/>
        <bgColor rgb="FF16A085"/>
      </patternFill>
    </fill>
    <fill>
      <patternFill patternType="solid">
        <fgColor rgb="FF2E75B6"/>
        <bgColor rgb="FF4472C4"/>
      </patternFill>
    </fill>
    <fill>
      <patternFill patternType="solid">
        <fgColor rgb="FF8E44AD"/>
        <bgColor rgb="FF9333EA"/>
      </patternFill>
    </fill>
    <fill>
      <patternFill patternType="solid">
        <fgColor rgb="FF16A085"/>
        <bgColor rgb="FF27AE60"/>
      </patternFill>
    </fill>
    <fill>
      <patternFill patternType="solid">
        <fgColor rgb="FFE67E22"/>
        <bgColor rgb="FFCF642C"/>
      </patternFill>
    </fill>
    <fill>
      <patternFill patternType="solid">
        <fgColor rgb="FFC0392B"/>
        <bgColor rgb="FFB45309"/>
      </patternFill>
    </fill>
    <fill>
      <patternFill patternType="solid">
        <fgColor rgb="FFD35400"/>
        <bgColor rgb="FFC65911"/>
      </patternFill>
    </fill>
    <fill>
      <patternFill patternType="solid">
        <fgColor rgb="FFF2F2F2"/>
        <bgColor rgb="FFF0FDF4"/>
      </patternFill>
    </fill>
    <fill>
      <patternFill patternType="solid">
        <fgColor rgb="FFC6EFCE"/>
        <bgColor rgb="FFD1FAE5"/>
      </patternFill>
    </fill>
    <fill>
      <patternFill patternType="solid">
        <fgColor rgb="FF1E3A5F"/>
        <bgColor rgb="FF334155"/>
      </patternFill>
    </fill>
    <fill>
      <patternFill patternType="solid">
        <fgColor rgb="FF0F766E"/>
        <bgColor rgb="FF156082"/>
      </patternFill>
    </fill>
    <fill>
      <patternFill patternType="solid">
        <fgColor rgb="FF334155"/>
        <bgColor rgb="FF1E3A5F"/>
      </patternFill>
    </fill>
    <fill>
      <patternFill patternType="solid">
        <fgColor rgb="FFFEF08A"/>
        <bgColor rgb="FFFFFF99"/>
      </patternFill>
    </fill>
    <fill>
      <patternFill patternType="solid">
        <fgColor rgb="FFD1FAE5"/>
        <bgColor rgb="FFC6EFCE"/>
      </patternFill>
    </fill>
    <fill>
      <patternFill patternType="solid">
        <fgColor rgb="FFF0FDF4"/>
        <bgColor rgb="FFF2F2F2"/>
      </patternFill>
    </fill>
    <fill>
      <patternFill patternType="solid">
        <fgColor rgb="FF0369A1"/>
        <bgColor rgb="FF156082"/>
      </patternFill>
    </fill>
    <fill>
      <patternFill patternType="solid">
        <fgColor rgb="FF1D4ED8"/>
        <bgColor rgb="FF0369A1"/>
      </patternFill>
    </fill>
    <fill>
      <patternFill patternType="solid">
        <fgColor rgb="FF9333EA"/>
        <bgColor rgb="FF7C3AED"/>
      </patternFill>
    </fill>
    <fill>
      <patternFill patternType="solid">
        <fgColor rgb="FF7C3AED"/>
        <bgColor rgb="FF9333EA"/>
      </patternFill>
    </fill>
    <fill>
      <patternFill patternType="solid">
        <fgColor rgb="FFB45309"/>
        <bgColor rgb="FFC65911"/>
      </patternFill>
    </fill>
    <fill>
      <patternFill patternType="solid">
        <fgColor rgb="FFE0F2FE"/>
        <bgColor rgb="FFDDEBF7"/>
      </patternFill>
    </fill>
    <fill>
      <patternFill patternType="solid">
        <fgColor rgb="FFFFFF99"/>
        <bgColor rgb="FFFEF08A"/>
      </patternFill>
    </fill>
    <fill>
      <patternFill patternType="solid">
        <fgColor rgb="FFDDEBF7"/>
        <bgColor rgb="FFD6EAF8"/>
      </patternFill>
    </fill>
    <fill>
      <patternFill patternType="solid">
        <fgColor rgb="FF4472C4"/>
        <bgColor rgb="FF2E75B6"/>
      </patternFill>
    </fill>
    <fill>
      <patternFill patternType="solid">
        <fgColor rgb="FFD9E2F3"/>
        <bgColor rgb="FFD9E1F2"/>
      </patternFill>
    </fill>
    <fill>
      <patternFill patternType="solid">
        <fgColor rgb="FFD6DCE4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9E2F3"/>
      </patternFill>
    </fill>
    <fill>
      <patternFill patternType="solid">
        <fgColor rgb="FFC65911"/>
        <bgColor rgb="FFD35400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D6EAF8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D9E2F3"/>
      </patternFill>
    </fill>
    <fill>
      <patternFill patternType="solid">
        <fgColor rgb="FF548235"/>
        <bgColor rgb="FF666666"/>
      </patternFill>
    </fill>
    <fill>
      <patternFill patternType="solid">
        <fgColor rgb="FFD1FAE5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5">
    <xf numFmtId="0" fontId="0" fillId="0" borderId="0" xfId="0"/>
    <xf numFmtId="3" fontId="1" fillId="0" borderId="0" xfId="0" applyNumberFormat="1" applyFont="1"/>
    <xf numFmtId="1" fontId="1" fillId="0" borderId="0" xfId="0" applyNumberFormat="1" applyFont="1"/>
    <xf numFmtId="0" fontId="7" fillId="4" borderId="1" xfId="0" applyFont="1" applyFill="1" applyBorder="1" applyAlignment="1">
      <alignment horizontal="center" vertical="center" wrapText="1"/>
    </xf>
    <xf numFmtId="0" fontId="8" fillId="10" borderId="1" xfId="0" applyFont="1" applyFill="1" applyBorder="1"/>
    <xf numFmtId="0" fontId="8" fillId="10" borderId="1" xfId="0" applyFont="1" applyFill="1" applyBorder="1" applyAlignment="1">
      <alignment horizontal="center" vertical="center" wrapText="1"/>
    </xf>
    <xf numFmtId="3" fontId="9" fillId="10" borderId="1" xfId="0" applyNumberFormat="1" applyFont="1" applyFill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/>
    <xf numFmtId="0" fontId="10" fillId="0" borderId="0" xfId="0" applyFont="1"/>
    <xf numFmtId="3" fontId="10" fillId="0" borderId="0" xfId="0" applyNumberFormat="1" applyFont="1"/>
    <xf numFmtId="0" fontId="11" fillId="11" borderId="1" xfId="0" applyFont="1" applyFill="1" applyBorder="1"/>
    <xf numFmtId="0" fontId="11" fillId="0" borderId="0" xfId="0" applyFont="1"/>
    <xf numFmtId="3" fontId="1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8" fillId="0" borderId="1" xfId="0" applyFont="1" applyBorder="1"/>
    <xf numFmtId="3" fontId="9" fillId="0" borderId="1" xfId="0" applyNumberFormat="1" applyFont="1" applyBorder="1"/>
    <xf numFmtId="0" fontId="12" fillId="11" borderId="1" xfId="0" applyFont="1" applyFill="1" applyBorder="1"/>
    <xf numFmtId="3" fontId="12" fillId="11" borderId="1" xfId="0" applyNumberFormat="1" applyFont="1" applyFill="1" applyBorder="1"/>
    <xf numFmtId="4" fontId="8" fillId="0" borderId="1" xfId="0" applyNumberFormat="1" applyFont="1" applyBorder="1"/>
    <xf numFmtId="3" fontId="7" fillId="4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3" fontId="8" fillId="0" borderId="1" xfId="0" applyNumberFormat="1" applyFont="1" applyBorder="1"/>
    <xf numFmtId="0" fontId="14" fillId="0" borderId="0" xfId="0" applyFont="1" applyAlignment="1">
      <alignment horizontal="center" vertical="center" wrapText="1"/>
    </xf>
    <xf numFmtId="0" fontId="6" fillId="2" borderId="0" xfId="0" applyFont="1" applyFill="1"/>
    <xf numFmtId="0" fontId="1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14" borderId="2" xfId="0" applyFont="1" applyFill="1" applyBorder="1" applyAlignment="1">
      <alignment horizontal="center" vertical="center" wrapText="1"/>
    </xf>
    <xf numFmtId="0" fontId="0" fillId="0" borderId="2" xfId="0" applyBorder="1"/>
    <xf numFmtId="3" fontId="19" fillId="15" borderId="2" xfId="0" applyNumberFormat="1" applyFont="1" applyFill="1" applyBorder="1"/>
    <xf numFmtId="9" fontId="19" fillId="15" borderId="2" xfId="0" applyNumberFormat="1" applyFont="1" applyFill="1" applyBorder="1"/>
    <xf numFmtId="0" fontId="21" fillId="17" borderId="2" xfId="0" applyFont="1" applyFill="1" applyBorder="1"/>
    <xf numFmtId="0" fontId="0" fillId="17" borderId="2" xfId="0" applyFill="1" applyBorder="1"/>
    <xf numFmtId="3" fontId="21" fillId="17" borderId="2" xfId="0" applyNumberFormat="1" applyFont="1" applyFill="1" applyBorder="1"/>
    <xf numFmtId="0" fontId="23" fillId="14" borderId="2" xfId="0" applyFont="1" applyFill="1" applyBorder="1" applyAlignment="1">
      <alignment horizontal="center" vertical="center" wrapText="1"/>
    </xf>
    <xf numFmtId="0" fontId="20" fillId="0" borderId="2" xfId="0" applyFont="1" applyBorder="1"/>
    <xf numFmtId="3" fontId="0" fillId="15" borderId="2" xfId="0" applyNumberFormat="1" applyFill="1" applyBorder="1"/>
    <xf numFmtId="9" fontId="0" fillId="15" borderId="2" xfId="0" applyNumberFormat="1" applyFill="1" applyBorder="1"/>
    <xf numFmtId="0" fontId="0" fillId="15" borderId="2" xfId="0" applyFill="1" applyBorder="1"/>
    <xf numFmtId="0" fontId="11" fillId="17" borderId="2" xfId="0" applyFont="1" applyFill="1" applyBorder="1"/>
    <xf numFmtId="3" fontId="11" fillId="17" borderId="2" xfId="0" applyNumberFormat="1" applyFont="1" applyFill="1" applyBorder="1"/>
    <xf numFmtId="0" fontId="7" fillId="19" borderId="0" xfId="0" applyFont="1" applyFill="1"/>
    <xf numFmtId="49" fontId="0" fillId="0" borderId="2" xfId="0" applyNumberFormat="1" applyBorder="1"/>
    <xf numFmtId="0" fontId="7" fillId="21" borderId="0" xfId="0" applyFont="1" applyFill="1"/>
    <xf numFmtId="0" fontId="7" fillId="22" borderId="0" xfId="0" applyFont="1" applyFill="1"/>
    <xf numFmtId="0" fontId="12" fillId="23" borderId="2" xfId="0" applyFont="1" applyFill="1" applyBorder="1"/>
    <xf numFmtId="3" fontId="12" fillId="23" borderId="2" xfId="0" applyNumberFormat="1" applyFont="1" applyFill="1" applyBorder="1"/>
    <xf numFmtId="3" fontId="25" fillId="16" borderId="2" xfId="0" applyNumberFormat="1" applyFont="1" applyFill="1" applyBorder="1"/>
    <xf numFmtId="3" fontId="26" fillId="15" borderId="2" xfId="0" applyNumberFormat="1" applyFont="1" applyFill="1" applyBorder="1"/>
    <xf numFmtId="0" fontId="25" fillId="16" borderId="2" xfId="0" applyFont="1" applyFill="1" applyBorder="1"/>
    <xf numFmtId="0" fontId="26" fillId="15" borderId="2" xfId="0" applyFont="1" applyFill="1" applyBorder="1"/>
    <xf numFmtId="3" fontId="27" fillId="24" borderId="2" xfId="0" applyNumberFormat="1" applyFont="1" applyFill="1" applyBorder="1"/>
    <xf numFmtId="0" fontId="28" fillId="17" borderId="2" xfId="0" applyFont="1" applyFill="1" applyBorder="1"/>
    <xf numFmtId="3" fontId="28" fillId="17" borderId="2" xfId="0" applyNumberFormat="1" applyFont="1" applyFill="1" applyBorder="1"/>
    <xf numFmtId="0" fontId="20" fillId="15" borderId="2" xfId="0" applyFont="1" applyFill="1" applyBorder="1"/>
    <xf numFmtId="0" fontId="21" fillId="23" borderId="2" xfId="0" applyFont="1" applyFill="1" applyBorder="1"/>
    <xf numFmtId="0" fontId="0" fillId="23" borderId="2" xfId="0" applyFill="1" applyBorder="1"/>
    <xf numFmtId="3" fontId="21" fillId="23" borderId="2" xfId="0" applyNumberFormat="1" applyFont="1" applyFill="1" applyBorder="1"/>
    <xf numFmtId="0" fontId="18" fillId="14" borderId="2" xfId="0" applyFont="1" applyFill="1" applyBorder="1" applyAlignment="1">
      <alignment horizontal="center" wrapText="1"/>
    </xf>
    <xf numFmtId="0" fontId="19" fillId="15" borderId="2" xfId="0" applyFont="1" applyFill="1" applyBorder="1"/>
    <xf numFmtId="3" fontId="30" fillId="16" borderId="2" xfId="0" applyNumberFormat="1" applyFont="1" applyFill="1" applyBorder="1"/>
    <xf numFmtId="0" fontId="23" fillId="14" borderId="2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 wrapText="1"/>
    </xf>
    <xf numFmtId="3" fontId="8" fillId="11" borderId="3" xfId="0" applyNumberFormat="1" applyFont="1" applyFill="1" applyBorder="1"/>
    <xf numFmtId="0" fontId="8" fillId="24" borderId="3" xfId="0" applyFont="1" applyFill="1" applyBorder="1" applyAlignment="1">
      <alignment horizontal="center" vertical="center" wrapText="1"/>
    </xf>
    <xf numFmtId="0" fontId="8" fillId="24" borderId="3" xfId="0" applyFont="1" applyFill="1" applyBorder="1"/>
    <xf numFmtId="3" fontId="8" fillId="11" borderId="3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16" fillId="24" borderId="1" xfId="0" applyNumberFormat="1" applyFont="1" applyFill="1" applyBorder="1"/>
    <xf numFmtId="0" fontId="16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/>
    <xf numFmtId="0" fontId="33" fillId="11" borderId="1" xfId="0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left" vertical="center"/>
    </xf>
    <xf numFmtId="0" fontId="12" fillId="25" borderId="1" xfId="0" applyFont="1" applyFill="1" applyBorder="1"/>
    <xf numFmtId="0" fontId="0" fillId="25" borderId="1" xfId="0" applyFill="1" applyBorder="1"/>
    <xf numFmtId="3" fontId="12" fillId="25" borderId="1" xfId="0" applyNumberFormat="1" applyFont="1" applyFill="1" applyBorder="1"/>
    <xf numFmtId="0" fontId="8" fillId="0" borderId="3" xfId="0" applyFont="1" applyBorder="1"/>
    <xf numFmtId="0" fontId="8" fillId="11" borderId="3" xfId="0" applyFont="1" applyFill="1" applyBorder="1"/>
    <xf numFmtId="3" fontId="33" fillId="11" borderId="1" xfId="0" applyNumberFormat="1" applyFont="1" applyFill="1" applyBorder="1"/>
    <xf numFmtId="0" fontId="8" fillId="11" borderId="1" xfId="0" applyFont="1" applyFill="1" applyBorder="1"/>
    <xf numFmtId="3" fontId="16" fillId="11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3" fontId="7" fillId="2" borderId="1" xfId="0" applyNumberFormat="1" applyFont="1" applyFill="1" applyBorder="1"/>
    <xf numFmtId="0" fontId="34" fillId="0" borderId="0" xfId="0" applyFont="1"/>
    <xf numFmtId="0" fontId="7" fillId="26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4" fontId="8" fillId="24" borderId="3" xfId="0" applyNumberFormat="1" applyFont="1" applyFill="1" applyBorder="1"/>
    <xf numFmtId="0" fontId="12" fillId="27" borderId="3" xfId="0" applyFont="1" applyFill="1" applyBorder="1"/>
    <xf numFmtId="4" fontId="12" fillId="27" borderId="3" xfId="0" applyNumberFormat="1" applyFont="1" applyFill="1" applyBorder="1"/>
    <xf numFmtId="4" fontId="12" fillId="11" borderId="3" xfId="0" applyNumberFormat="1" applyFont="1" applyFill="1" applyBorder="1"/>
    <xf numFmtId="0" fontId="36" fillId="0" borderId="0" xfId="0" applyFont="1"/>
    <xf numFmtId="0" fontId="3" fillId="0" borderId="0" xfId="0" applyFont="1" applyAlignment="1">
      <alignment horizontal="left"/>
    </xf>
    <xf numFmtId="0" fontId="4" fillId="26" borderId="1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3" fontId="30" fillId="0" borderId="2" xfId="0" applyNumberFormat="1" applyFont="1" applyBorder="1" applyAlignment="1">
      <alignment horizontal="right" vertical="center" wrapText="1"/>
    </xf>
    <xf numFmtId="49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/>
    </xf>
    <xf numFmtId="0" fontId="30" fillId="0" borderId="2" xfId="0" applyFont="1" applyBorder="1" applyAlignment="1">
      <alignment horizontal="left"/>
    </xf>
    <xf numFmtId="3" fontId="30" fillId="0" borderId="2" xfId="0" applyNumberFormat="1" applyFont="1" applyBorder="1" applyAlignment="1">
      <alignment horizontal="right"/>
    </xf>
    <xf numFmtId="49" fontId="30" fillId="0" borderId="2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3" fontId="38" fillId="0" borderId="1" xfId="0" applyNumberFormat="1" applyFont="1" applyBorder="1" applyAlignment="1">
      <alignment horizontal="right"/>
    </xf>
    <xf numFmtId="0" fontId="38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1" fillId="28" borderId="1" xfId="0" applyFont="1" applyFill="1" applyBorder="1" applyAlignment="1">
      <alignment horizontal="center" vertical="center" wrapText="1"/>
    </xf>
    <xf numFmtId="0" fontId="21" fillId="28" borderId="1" xfId="0" applyFont="1" applyFill="1" applyBorder="1" applyAlignment="1">
      <alignment horizontal="center" vertical="center" wrapText="1"/>
    </xf>
    <xf numFmtId="3" fontId="21" fillId="28" borderId="1" xfId="0" applyNumberFormat="1" applyFont="1" applyFill="1" applyBorder="1" applyAlignment="1">
      <alignment horizontal="center" vertical="center" wrapText="1"/>
    </xf>
    <xf numFmtId="3" fontId="4" fillId="26" borderId="1" xfId="0" applyNumberFormat="1" applyFont="1" applyFill="1" applyBorder="1" applyAlignment="1">
      <alignment horizontal="center" vertical="center" wrapText="1"/>
    </xf>
    <xf numFmtId="3" fontId="38" fillId="0" borderId="1" xfId="0" applyNumberFormat="1" applyFont="1" applyBorder="1"/>
    <xf numFmtId="0" fontId="3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3" fontId="38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3" fontId="38" fillId="0" borderId="1" xfId="0" applyNumberFormat="1" applyFont="1" applyBorder="1" applyAlignment="1">
      <alignment horizontal="left" vertical="center" wrapText="1"/>
    </xf>
    <xf numFmtId="0" fontId="1" fillId="28" borderId="1" xfId="0" applyFont="1" applyFill="1" applyBorder="1"/>
    <xf numFmtId="0" fontId="21" fillId="28" borderId="1" xfId="0" applyFont="1" applyFill="1" applyBorder="1"/>
    <xf numFmtId="3" fontId="21" fillId="28" borderId="1" xfId="0" applyNumberFormat="1" applyFont="1" applyFill="1" applyBorder="1"/>
    <xf numFmtId="3" fontId="12" fillId="29" borderId="1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0" fillId="11" borderId="1" xfId="0" applyFont="1" applyFill="1" applyBorder="1"/>
    <xf numFmtId="4" fontId="30" fillId="11" borderId="1" xfId="0" applyNumberFormat="1" applyFont="1" applyFill="1" applyBorder="1"/>
    <xf numFmtId="0" fontId="1" fillId="30" borderId="1" xfId="0" applyFont="1" applyFill="1" applyBorder="1"/>
    <xf numFmtId="0" fontId="21" fillId="30" borderId="1" xfId="0" applyFont="1" applyFill="1" applyBorder="1"/>
    <xf numFmtId="4" fontId="21" fillId="30" borderId="1" xfId="0" applyNumberFormat="1" applyFont="1" applyFill="1" applyBorder="1"/>
    <xf numFmtId="4" fontId="30" fillId="32" borderId="1" xfId="0" applyNumberFormat="1" applyFont="1" applyFill="1" applyBorder="1" applyAlignment="1">
      <alignment horizontal="center"/>
    </xf>
    <xf numFmtId="0" fontId="30" fillId="0" borderId="1" xfId="0" applyFont="1" applyBorder="1"/>
    <xf numFmtId="4" fontId="30" fillId="32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4" fontId="21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/>
    <xf numFmtId="4" fontId="1" fillId="0" borderId="0" xfId="0" applyNumberFormat="1" applyFont="1"/>
    <xf numFmtId="17" fontId="6" fillId="2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16" fillId="33" borderId="1" xfId="0" applyNumberFormat="1" applyFont="1" applyFill="1" applyBorder="1"/>
    <xf numFmtId="4" fontId="19" fillId="24" borderId="1" xfId="0" applyNumberFormat="1" applyFont="1" applyFill="1" applyBorder="1"/>
    <xf numFmtId="3" fontId="33" fillId="0" borderId="1" xfId="0" applyNumberFormat="1" applyFont="1" applyBorder="1"/>
    <xf numFmtId="0" fontId="39" fillId="0" borderId="0" xfId="0" applyFont="1"/>
    <xf numFmtId="3" fontId="33" fillId="11" borderId="0" xfId="0" applyNumberFormat="1" applyFont="1" applyFill="1"/>
    <xf numFmtId="3" fontId="0" fillId="11" borderId="0" xfId="0" applyNumberFormat="1" applyFill="1"/>
    <xf numFmtId="0" fontId="39" fillId="34" borderId="0" xfId="0" applyFont="1" applyFill="1"/>
    <xf numFmtId="3" fontId="9" fillId="0" borderId="0" xfId="0" applyNumberFormat="1" applyFont="1"/>
    <xf numFmtId="3" fontId="16" fillId="33" borderId="0" xfId="0" applyNumberFormat="1" applyFont="1" applyFill="1"/>
    <xf numFmtId="0" fontId="39" fillId="35" borderId="0" xfId="0" applyFont="1" applyFill="1"/>
    <xf numFmtId="4" fontId="19" fillId="24" borderId="0" xfId="0" applyNumberFormat="1" applyFont="1" applyFill="1"/>
    <xf numFmtId="0" fontId="40" fillId="0" borderId="0" xfId="0" applyFont="1"/>
    <xf numFmtId="4" fontId="0" fillId="0" borderId="0" xfId="0" applyNumberFormat="1"/>
    <xf numFmtId="4" fontId="21" fillId="30" borderId="0" xfId="0" applyNumberFormat="1" applyFont="1" applyFill="1"/>
    <xf numFmtId="4" fontId="39" fillId="36" borderId="0" xfId="0" applyNumberFormat="1" applyFont="1" applyFill="1"/>
    <xf numFmtId="3" fontId="33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49" fontId="16" fillId="24" borderId="1" xfId="0" applyNumberFormat="1" applyFont="1" applyFill="1" applyBorder="1"/>
    <xf numFmtId="49" fontId="16" fillId="24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0" fillId="11" borderId="1" xfId="0" applyFont="1" applyFill="1" applyBorder="1" applyAlignment="1">
      <alignment horizontal="center" vertical="center" wrapText="1"/>
    </xf>
    <xf numFmtId="0" fontId="19" fillId="15" borderId="1" xfId="0" applyFont="1" applyFill="1" applyBorder="1"/>
    <xf numFmtId="3" fontId="19" fillId="15" borderId="1" xfId="0" applyNumberFormat="1" applyFont="1" applyFill="1" applyBorder="1"/>
    <xf numFmtId="0" fontId="43" fillId="15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9" fillId="10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10" borderId="1" xfId="0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/>
    <xf numFmtId="0" fontId="24" fillId="16" borderId="2" xfId="0" applyFont="1" applyFill="1" applyBorder="1"/>
    <xf numFmtId="0" fontId="29" fillId="16" borderId="2" xfId="0" applyFont="1" applyFill="1" applyBorder="1"/>
    <xf numFmtId="0" fontId="31" fillId="0" borderId="0" xfId="0" applyFont="1"/>
    <xf numFmtId="0" fontId="15" fillId="0" borderId="0" xfId="0" applyFont="1"/>
    <xf numFmtId="0" fontId="0" fillId="0" borderId="0" xfId="0"/>
    <xf numFmtId="0" fontId="3" fillId="0" borderId="0" xfId="0" applyFont="1"/>
    <xf numFmtId="0" fontId="33" fillId="11" borderId="1" xfId="0" applyFont="1" applyFill="1" applyBorder="1"/>
    <xf numFmtId="0" fontId="12" fillId="0" borderId="0" xfId="0" applyFont="1"/>
    <xf numFmtId="164" fontId="0" fillId="0" borderId="2" xfId="0" applyNumberFormat="1" applyBorder="1"/>
    <xf numFmtId="3" fontId="20" fillId="38" borderId="2" xfId="0" applyNumberFormat="1" applyFont="1" applyFill="1" applyBorder="1"/>
    <xf numFmtId="165" fontId="0" fillId="15" borderId="2" xfId="0" applyNumberFormat="1" applyFill="1" applyBorder="1"/>
    <xf numFmtId="164" fontId="29" fillId="16" borderId="2" xfId="0" applyNumberFormat="1" applyFont="1" applyFill="1" applyBorder="1"/>
    <xf numFmtId="166" fontId="8" fillId="24" borderId="3" xfId="0" applyNumberFormat="1" applyFont="1" applyFill="1" applyBorder="1"/>
    <xf numFmtId="166" fontId="16" fillId="24" borderId="1" xfId="0" applyNumberFormat="1" applyFont="1" applyFill="1" applyBorder="1"/>
    <xf numFmtId="166" fontId="8" fillId="24" borderId="3" xfId="0" applyNumberFormat="1" applyFont="1" applyFill="1" applyBorder="1" applyAlignment="1">
      <alignment horizontal="center"/>
    </xf>
    <xf numFmtId="166" fontId="16" fillId="24" borderId="1" xfId="0" applyNumberFormat="1" applyFont="1" applyFill="1" applyBorder="1" applyAlignment="1">
      <alignment horizontal="center"/>
    </xf>
    <xf numFmtId="165" fontId="4" fillId="26" borderId="1" xfId="0" applyNumberFormat="1" applyFont="1" applyFill="1" applyBorder="1" applyAlignment="1">
      <alignment horizontal="center" vertical="center" wrapText="1"/>
    </xf>
    <xf numFmtId="164" fontId="30" fillId="0" borderId="2" xfId="0" applyNumberFormat="1" applyFont="1" applyBorder="1" applyAlignment="1">
      <alignment horizontal="left" vertical="center" wrapText="1"/>
    </xf>
    <xf numFmtId="164" fontId="30" fillId="0" borderId="2" xfId="0" applyNumberFormat="1" applyFont="1" applyBorder="1" applyAlignment="1">
      <alignment horizontal="left"/>
    </xf>
    <xf numFmtId="164" fontId="38" fillId="0" borderId="1" xfId="0" applyNumberFormat="1" applyFont="1" applyBorder="1" applyAlignment="1">
      <alignment horizontal="left"/>
    </xf>
    <xf numFmtId="164" fontId="1" fillId="0" borderId="0" xfId="0" applyNumberFormat="1" applyFont="1"/>
    <xf numFmtId="164" fontId="4" fillId="26" borderId="1" xfId="0" applyNumberFormat="1" applyFont="1" applyFill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left"/>
    </xf>
    <xf numFmtId="164" fontId="30" fillId="0" borderId="1" xfId="0" applyNumberFormat="1" applyFont="1" applyBorder="1" applyAlignment="1">
      <alignment horizontal="left" vertical="center" wrapText="1"/>
    </xf>
    <xf numFmtId="164" fontId="1" fillId="28" borderId="1" xfId="0" applyNumberFormat="1" applyFont="1" applyFill="1" applyBorder="1"/>
    <xf numFmtId="167" fontId="30" fillId="11" borderId="1" xfId="0" applyNumberFormat="1" applyFont="1" applyFill="1" applyBorder="1"/>
    <xf numFmtId="167" fontId="30" fillId="0" borderId="1" xfId="0" applyNumberFormat="1" applyFont="1" applyBorder="1"/>
    <xf numFmtId="167" fontId="30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8" fontId="1" fillId="0" borderId="1" xfId="0" applyNumberFormat="1" applyFont="1" applyBorder="1"/>
    <xf numFmtId="168" fontId="0" fillId="0" borderId="1" xfId="0" applyNumberFormat="1" applyBorder="1"/>
    <xf numFmtId="164" fontId="16" fillId="24" borderId="1" xfId="0" applyNumberFormat="1" applyFont="1" applyFill="1" applyBorder="1"/>
    <xf numFmtId="164" fontId="33" fillId="11" borderId="1" xfId="0" applyNumberFormat="1" applyFont="1" applyFill="1" applyBorder="1"/>
    <xf numFmtId="164" fontId="19" fillId="15" borderId="1" xfId="0" applyNumberFormat="1" applyFont="1" applyFill="1" applyBorder="1"/>
    <xf numFmtId="165" fontId="13" fillId="11" borderId="1" xfId="0" applyNumberFormat="1" applyFont="1" applyFill="1" applyBorder="1"/>
    <xf numFmtId="166" fontId="0" fillId="0" borderId="2" xfId="0" applyNumberForma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3" fontId="2" fillId="5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6" fillId="3" borderId="1" xfId="0" applyFont="1" applyFill="1" applyBorder="1"/>
    <xf numFmtId="0" fontId="0" fillId="0" borderId="6" xfId="0" applyBorder="1"/>
    <xf numFmtId="0" fontId="6" fillId="2" borderId="0" xfId="0" applyFont="1" applyFill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2" fillId="9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0" borderId="0" xfId="0" applyFont="1"/>
    <xf numFmtId="3" fontId="4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3" fontId="2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2" fillId="20" borderId="0" xfId="0" applyFont="1" applyFill="1" applyAlignment="1">
      <alignment horizontal="left" vertical="center"/>
    </xf>
    <xf numFmtId="0" fontId="22" fillId="18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center" vertical="center"/>
    </xf>
    <xf numFmtId="0" fontId="7" fillId="13" borderId="0" xfId="0" applyFont="1" applyFill="1"/>
    <xf numFmtId="0" fontId="24" fillId="16" borderId="2" xfId="0" applyFont="1" applyFill="1" applyBorder="1"/>
    <xf numFmtId="0" fontId="0" fillId="0" borderId="8" xfId="0" applyBorder="1"/>
    <xf numFmtId="0" fontId="0" fillId="0" borderId="9" xfId="0" applyBorder="1"/>
    <xf numFmtId="0" fontId="22" fillId="18" borderId="0" xfId="0" applyFont="1" applyFill="1"/>
    <xf numFmtId="0" fontId="22" fillId="20" borderId="0" xfId="0" applyFont="1" applyFill="1"/>
    <xf numFmtId="0" fontId="29" fillId="16" borderId="2" xfId="0" applyFont="1" applyFill="1" applyBorder="1"/>
    <xf numFmtId="0" fontId="15" fillId="0" borderId="0" xfId="0" applyFont="1" applyAlignment="1">
      <alignment horizontal="left" vertical="center"/>
    </xf>
    <xf numFmtId="0" fontId="31" fillId="0" borderId="0" xfId="0" applyFont="1"/>
    <xf numFmtId="0" fontId="6" fillId="4" borderId="0" xfId="0" applyFont="1" applyFill="1"/>
    <xf numFmtId="0" fontId="32" fillId="2" borderId="0" xfId="0" applyFont="1" applyFill="1" applyAlignment="1">
      <alignment horizontal="center" vertical="center" wrapText="1"/>
    </xf>
    <xf numFmtId="0" fontId="12" fillId="11" borderId="3" xfId="0" applyFont="1" applyFill="1" applyBorder="1"/>
    <xf numFmtId="0" fontId="0" fillId="0" borderId="10" xfId="0" applyBorder="1"/>
    <xf numFmtId="0" fontId="30" fillId="0" borderId="0" xfId="0" applyFont="1" applyAlignment="1">
      <alignment vertical="top" wrapText="1"/>
    </xf>
    <xf numFmtId="0" fontId="35" fillId="0" borderId="0" xfId="0" applyFont="1"/>
    <xf numFmtId="0" fontId="12" fillId="28" borderId="0" xfId="0" applyFont="1" applyFill="1" applyAlignment="1">
      <alignment horizontal="center"/>
    </xf>
    <xf numFmtId="0" fontId="7" fillId="31" borderId="1" xfId="0" applyFont="1" applyFill="1" applyBorder="1"/>
    <xf numFmtId="0" fontId="7" fillId="4" borderId="1" xfId="0" applyFont="1" applyFill="1" applyBorder="1"/>
    <xf numFmtId="0" fontId="37" fillId="0" borderId="0" xfId="0" applyFont="1"/>
    <xf numFmtId="164" fontId="12" fillId="28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3" fillId="0" borderId="0" xfId="0" applyFont="1"/>
    <xf numFmtId="0" fontId="6" fillId="37" borderId="1" xfId="0" applyFont="1" applyFill="1" applyBorder="1"/>
    <xf numFmtId="0" fontId="6" fillId="31" borderId="1" xfId="0" applyFont="1" applyFill="1" applyBorder="1"/>
    <xf numFmtId="0" fontId="6" fillId="4" borderId="1" xfId="0" applyFont="1" applyFill="1" applyBorder="1"/>
    <xf numFmtId="0" fontId="3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right" vertical="center"/>
    </xf>
    <xf numFmtId="0" fontId="12" fillId="0" borderId="0" xfId="0" applyFont="1"/>
    <xf numFmtId="170" fontId="32" fillId="2" borderId="4" xfId="0" applyNumberFormat="1" applyFont="1" applyFill="1" applyBorder="1" applyAlignment="1">
      <alignment horizontal="center" vertical="center" wrapText="1"/>
    </xf>
    <xf numFmtId="1" fontId="33" fillId="11" borderId="1" xfId="0" applyNumberFormat="1" applyFont="1" applyFill="1" applyBorder="1"/>
    <xf numFmtId="0" fontId="12" fillId="10" borderId="0" xfId="0" applyFont="1" applyFill="1"/>
    <xf numFmtId="0" fontId="12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70" fontId="33" fillId="11" borderId="1" xfId="0" applyNumberFormat="1" applyFont="1" applyFill="1" applyBorder="1"/>
    <xf numFmtId="0" fontId="42" fillId="34" borderId="0" xfId="0" applyFont="1" applyFill="1" applyAlignment="1">
      <alignment horizontal="center" vertical="center" wrapText="1"/>
    </xf>
    <xf numFmtId="0" fontId="33" fillId="11" borderId="1" xfId="0" applyFont="1" applyFill="1" applyBorder="1"/>
    <xf numFmtId="0" fontId="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33" fillId="11" borderId="1" xfId="0" applyNumberFormat="1" applyFont="1" applyFill="1" applyBorder="1"/>
    <xf numFmtId="0" fontId="6" fillId="4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170" fontId="44" fillId="2" borderId="4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5911"/>
      <rgbColor rgb="FFDCE6F1"/>
      <rgbColor rgb="FF0000FF"/>
      <rgbColor rgb="FFFEF08A"/>
      <rgbColor rgb="FFDDEBF7"/>
      <rgbColor rgb="FFD9E2F3"/>
      <rgbColor rgb="FF800000"/>
      <rgbColor rgb="FF008000"/>
      <rgbColor rgb="FF000080"/>
      <rgbColor rgb="FF548235"/>
      <rgbColor rgb="FF9333EA"/>
      <rgbColor rgb="FF0F766E"/>
      <rgbColor rgb="FFB3B3B3"/>
      <rgbColor rgb="FF888888"/>
      <rgbColor rgb="FFB0B0B0"/>
      <rgbColor rgb="FF8E44AD"/>
      <rgbColor rgb="FFFFF2CC"/>
      <rgbColor rgb="FFE0F2FE"/>
      <rgbColor rgb="FFF0FDF4"/>
      <rgbColor rgb="FFCF642C"/>
      <rgbColor rgb="FF0369A1"/>
      <rgbColor rgb="FFCBD5E1"/>
      <rgbColor rgb="FF000080"/>
      <rgbColor rgb="FFF2F2F2"/>
      <rgbColor rgb="FFE2EFDA"/>
      <rgbColor rgb="FFD9E1F2"/>
      <rgbColor rgb="FF7C3AED"/>
      <rgbColor rgb="FF800000"/>
      <rgbColor rgb="FF156082"/>
      <rgbColor rgb="FF1D4ED8"/>
      <rgbColor rgb="FF2E75B6"/>
      <rgbColor rgb="FFD6EAF8"/>
      <rgbColor rgb="FFD1FAE5"/>
      <rgbColor rgb="FFFFFF99"/>
      <rgbColor rgb="FFD6DCE4"/>
      <rgbColor rgb="FFEEA18B"/>
      <rgbColor rgb="FFD9D9D9"/>
      <rgbColor rgb="FFFFC7CE"/>
      <rgbColor rgb="FF4472C4"/>
      <rgbColor rgb="FF16A085"/>
      <rgbColor rgb="FFC6EFCE"/>
      <rgbColor rgb="FFFCE4D6"/>
      <rgbColor rgb="FFD35400"/>
      <rgbColor rgb="FFE67E22"/>
      <rgbColor rgb="FF666666"/>
      <rgbColor rgb="FF999999"/>
      <rgbColor rgb="FF1E3A5F"/>
      <rgbColor rgb="FF27AE60"/>
      <rgbColor rgb="FF006600"/>
      <rgbColor rgb="FF475569"/>
      <rgbColor rgb="FFC0392B"/>
      <rgbColor rgb="FFB45309"/>
      <rgbColor rgb="FF1F4E7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Aptos Narrow"/>
              </a:rPr>
              <a:t>Receitas por Grupo (KZ)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Dashboard!$E$13</c:f>
              <c:strCache>
                <c:ptCount val="1"/>
                <c:pt idx="0">
                  <c:v>Valor c/ Desc.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A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Dashboard!$B$14:$B$16</c:f>
              <c:strCache>
                <c:ptCount val="3"/>
                <c:pt idx="0">
                  <c:v>Maternelle</c:v>
                </c:pt>
                <c:pt idx="1">
                  <c:v>CM1</c:v>
                </c:pt>
                <c:pt idx="2">
                  <c:v>CM2</c:v>
                </c:pt>
              </c:strCache>
            </c:strRef>
          </c:cat>
          <c:val>
            <c:numRef>
              <c:f>Dashboard!$E$14:$E$16</c:f>
              <c:numCache>
                <c:formatCode>#,##0</c:formatCode>
                <c:ptCount val="3"/>
                <c:pt idx="0">
                  <c:v>1712000</c:v>
                </c:pt>
                <c:pt idx="1">
                  <c:v>180000</c:v>
                </c:pt>
                <c:pt idx="2">
                  <c:v>834000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F-4D51-B45F-93F279F0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3558"/>
        <c:axId val="81986961"/>
      </c:barChart>
      <c:catAx>
        <c:axId val="162135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AO"/>
          </a:p>
        </c:txPr>
        <c:crossAx val="81986961"/>
        <c:crosses val="autoZero"/>
        <c:auto val="1"/>
        <c:lblAlgn val="ctr"/>
        <c:lblOffset val="100"/>
        <c:noMultiLvlLbl val="0"/>
      </c:catAx>
      <c:valAx>
        <c:axId val="819869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AO"/>
          </a:p>
        </c:txPr>
        <c:crossAx val="1621355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A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Aptos Narrow"/>
              </a:rPr>
              <a:t>Entradas por Mês (Inscricoes + Propinas)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Dashboard!$C$28</c:f>
              <c:strCache>
                <c:ptCount val="1"/>
              </c:strCache>
            </c:strRef>
          </c:tx>
          <c:spPr>
            <a:solidFill>
              <a:srgbClr val="CF642C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A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Dashboard!$B$29:$B$34</c:f>
              <c:strCache>
                <c:ptCount val="6"/>
                <c:pt idx="0">
                  <c:v>FLUXO DE CAIXA (resumo mensal)</c:v>
                </c:pt>
                <c:pt idx="1">
                  <c:v>Mes</c:v>
                </c:pt>
                <c:pt idx="2">
                  <c:v>Jul/26</c:v>
                </c:pt>
                <c:pt idx="3">
                  <c:v>Ago/26</c:v>
                </c:pt>
                <c:pt idx="4">
                  <c:v>Set/26</c:v>
                </c:pt>
                <c:pt idx="5">
                  <c:v>Out/26</c:v>
                </c:pt>
              </c:strCache>
            </c:strRef>
          </c:cat>
          <c:val>
            <c:numRef>
              <c:f>Dashboard!$C$29:$C$34</c:f>
              <c:numCache>
                <c:formatCode>#,##0</c:formatCode>
                <c:ptCount val="6"/>
                <c:pt idx="1">
                  <c:v>0</c:v>
                </c:pt>
                <c:pt idx="2">
                  <c:v>1168000</c:v>
                </c:pt>
                <c:pt idx="3">
                  <c:v>1720000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8-446A-A09C-0D87C6D8EADD}"/>
            </c:ext>
          </c:extLst>
        </c:ser>
        <c:ser>
          <c:idx val="1"/>
          <c:order val="1"/>
          <c:tx>
            <c:strRef>
              <c:f>Dashboard!$D$28</c:f>
              <c:strCache>
                <c:ptCount val="1"/>
              </c:strCache>
            </c:strRef>
          </c:tx>
          <c:spPr>
            <a:solidFill>
              <a:srgbClr val="EEA18B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A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Dashboard!$B$29:$B$34</c:f>
              <c:strCache>
                <c:ptCount val="6"/>
                <c:pt idx="0">
                  <c:v>FLUXO DE CAIXA (resumo mensal)</c:v>
                </c:pt>
                <c:pt idx="1">
                  <c:v>Mes</c:v>
                </c:pt>
                <c:pt idx="2">
                  <c:v>Jul/26</c:v>
                </c:pt>
                <c:pt idx="3">
                  <c:v>Ago/26</c:v>
                </c:pt>
                <c:pt idx="4">
                  <c:v>Set/26</c:v>
                </c:pt>
                <c:pt idx="5">
                  <c:v>Out/26</c:v>
                </c:pt>
              </c:strCache>
            </c:strRef>
          </c:cat>
          <c:val>
            <c:numRef>
              <c:f>Dashboard!$D$29:$D$34</c:f>
              <c:numCache>
                <c:formatCode>General</c:formatCode>
                <c:ptCount val="6"/>
                <c:pt idx="1">
                  <c:v>0</c:v>
                </c:pt>
                <c:pt idx="2" formatCode="#,##0">
                  <c:v>170000</c:v>
                </c:pt>
                <c:pt idx="3" formatCode="#,##0">
                  <c:v>0</c:v>
                </c:pt>
                <c:pt idx="4" formatCode="#,##0">
                  <c:v>0</c:v>
                </c:pt>
                <c:pt idx="5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8-446A-A09C-0D87C6D8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064336"/>
        <c:axId val="26563147"/>
      </c:barChart>
      <c:catAx>
        <c:axId val="99064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AO"/>
          </a:p>
        </c:txPr>
        <c:crossAx val="26563147"/>
        <c:crosses val="autoZero"/>
        <c:auto val="1"/>
        <c:lblAlgn val="ctr"/>
        <c:lblOffset val="100"/>
        <c:noMultiLvlLbl val="0"/>
      </c:catAx>
      <c:valAx>
        <c:axId val="265631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AO"/>
          </a:p>
        </c:txPr>
        <c:crossAx val="990643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A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10</xdr:col>
      <xdr:colOff>710280</xdr:colOff>
      <xdr:row>26</xdr:row>
      <xdr:rowOff>12960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10</xdr:col>
      <xdr:colOff>710280</xdr:colOff>
      <xdr:row>40</xdr:row>
      <xdr:rowOff>165600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2" sqref="N12"/>
    </sheetView>
  </sheetViews>
  <sheetFormatPr defaultColWidth="8.5703125" defaultRowHeight="15" x14ac:dyDescent="0.25"/>
  <cols>
    <col min="1" max="1" width="3" style="188" customWidth="1"/>
    <col min="2" max="2" width="33.28515625" style="188" customWidth="1"/>
    <col min="3" max="5" width="14" style="188" customWidth="1"/>
    <col min="6" max="6" width="3" style="188" customWidth="1"/>
    <col min="7" max="9" width="14" style="188" customWidth="1"/>
    <col min="10" max="10" width="3" style="188" customWidth="1"/>
    <col min="11" max="11" width="16" style="188" customWidth="1"/>
    <col min="12" max="13" width="14" style="188" customWidth="1"/>
  </cols>
  <sheetData>
    <row r="1" spans="1:12" ht="15" customHeight="1" x14ac:dyDescent="0.25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2" ht="30" customHeight="1" x14ac:dyDescent="0.25">
      <c r="A2" s="183"/>
      <c r="B2" s="220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3" spans="1:12" ht="15" customHeight="1" x14ac:dyDescent="0.25">
      <c r="A3" s="183"/>
      <c r="B3" s="238" t="s">
        <v>1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</row>
    <row r="4" spans="1:12" ht="15" customHeight="1" x14ac:dyDescent="0.25">
      <c r="A4" s="183"/>
      <c r="B4" s="183"/>
      <c r="C4" s="1"/>
      <c r="D4" s="183"/>
      <c r="E4" s="183"/>
      <c r="F4" s="183"/>
      <c r="G4" s="183"/>
      <c r="H4" s="183"/>
      <c r="I4" s="183"/>
      <c r="J4" s="183"/>
      <c r="K4" s="183"/>
    </row>
    <row r="5" spans="1:12" ht="15" customHeight="1" x14ac:dyDescent="0.25">
      <c r="A5" s="183"/>
      <c r="B5" s="232" t="s">
        <v>2</v>
      </c>
      <c r="C5" s="223"/>
      <c r="D5" s="234">
        <f>SUMIF('Controlo de Propinas'!J6:J256,"&gt;0")</f>
        <v>170000</v>
      </c>
      <c r="E5" s="223"/>
      <c r="F5" s="183"/>
      <c r="G5" s="228" t="s">
        <v>3</v>
      </c>
      <c r="H5" s="223"/>
      <c r="I5" s="183"/>
      <c r="J5" s="183"/>
      <c r="K5" s="241">
        <f>'Controlo de Propinas'!N295</f>
        <v>3258000</v>
      </c>
      <c r="L5" s="223"/>
    </row>
    <row r="6" spans="1:12" ht="27.75" customHeight="1" x14ac:dyDescent="0.25">
      <c r="A6" s="183"/>
      <c r="B6" s="231">
        <f>'Controlo de Propinas'!N295</f>
        <v>3258000</v>
      </c>
      <c r="C6" s="223"/>
      <c r="D6" s="244">
        <f>SUMIF('Controlo de Propinas'!J6:J105,"&gt;0")+SUMIF('Controlo de Propinas'!J110:J124,"&gt;0")+SUMIF('Controlo de Propinas'!J129:J187,"&gt;0")+SUMIF('Controlo de Propinas'!J192:J206,"&gt;0")+SUMIF('Controlo de Propinas'!J210:J248,"&gt;0")+SUMIF('Controlo de Propinas'!J253:J292,"&gt;0")</f>
        <v>170000</v>
      </c>
      <c r="E6" s="223"/>
      <c r="F6" s="183"/>
      <c r="G6" s="222">
        <f>DRE!B25</f>
        <v>-1730379.88</v>
      </c>
      <c r="H6" s="223"/>
      <c r="I6" s="183"/>
      <c r="J6" s="183"/>
      <c r="K6" s="235">
        <f>'Controlo de Propinas'!N295</f>
        <v>3258000</v>
      </c>
      <c r="L6" s="223"/>
    </row>
    <row r="7" spans="1:12" ht="7.5" customHeight="1" x14ac:dyDescent="0.25">
      <c r="A7" s="183"/>
      <c r="B7" s="183"/>
      <c r="C7" s="1"/>
      <c r="D7" s="183"/>
      <c r="E7" s="183"/>
      <c r="F7" s="183"/>
      <c r="G7" s="183"/>
      <c r="H7" s="183"/>
      <c r="I7" s="183"/>
      <c r="J7" s="183"/>
      <c r="K7" s="183"/>
    </row>
    <row r="8" spans="1:12" ht="15" customHeight="1" x14ac:dyDescent="0.25">
      <c r="A8" s="183"/>
      <c r="B8" s="183"/>
      <c r="C8" s="2"/>
      <c r="D8" s="183"/>
      <c r="E8" s="183"/>
      <c r="F8" s="183"/>
      <c r="G8" s="183"/>
      <c r="H8" s="183"/>
      <c r="I8" s="183"/>
      <c r="J8" s="183"/>
      <c r="K8" s="183"/>
    </row>
    <row r="9" spans="1:12" ht="15" customHeight="1" x14ac:dyDescent="0.25">
      <c r="A9" s="183"/>
      <c r="B9" s="229" t="s">
        <v>4</v>
      </c>
      <c r="C9" s="223"/>
      <c r="D9" s="230" t="s">
        <v>5</v>
      </c>
      <c r="E9" s="223"/>
      <c r="F9" s="183"/>
      <c r="G9" s="236" t="s">
        <v>6</v>
      </c>
      <c r="H9" s="223"/>
      <c r="I9" s="183"/>
      <c r="J9" s="183"/>
      <c r="K9" s="239" t="s">
        <v>7</v>
      </c>
      <c r="L9" s="223"/>
    </row>
    <row r="10" spans="1:12" ht="27.75" customHeight="1" x14ac:dyDescent="0.25">
      <c r="A10" s="183"/>
      <c r="B10" s="227">
        <f>COUNTA('Controlo de Propinas'!B6:B105)+COUNTA('Controlo de Propinas'!B110:B124)+COUNTA('Controlo de Propinas'!B129:B187)+COUNTA('Controlo de Propinas'!B192:B206)+COUNTA('Controlo de Propinas'!B210:B248)+COUNTA('Controlo de Propinas'!B253:B292)</f>
        <v>17</v>
      </c>
      <c r="C10" s="223"/>
      <c r="D10" s="237">
        <f>'Fluxo de Caixa'!H6</f>
        <v>3058000</v>
      </c>
      <c r="E10" s="223"/>
      <c r="F10" s="183"/>
      <c r="G10" s="246">
        <f>'Controlo de Propinas'!L295-'Controlo de Propinas'!N295</f>
        <v>36000</v>
      </c>
      <c r="H10" s="223"/>
      <c r="I10" s="183"/>
      <c r="J10" s="183"/>
      <c r="K10" s="233">
        <f>IF(COUNTA(Mensalidades!A6:A12)=0,0,COUNTIF(Mensalidades!E6:E12,"&gt;0")/7)</f>
        <v>0</v>
      </c>
      <c r="L10" s="223"/>
    </row>
    <row r="11" spans="1:12" ht="15" customHeight="1" x14ac:dyDescent="0.25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</row>
    <row r="12" spans="1:12" ht="15" customHeight="1" x14ac:dyDescent="0.25">
      <c r="A12" s="183"/>
      <c r="B12" s="226" t="s">
        <v>8</v>
      </c>
      <c r="C12" s="221"/>
      <c r="D12" s="221"/>
      <c r="E12" s="221"/>
      <c r="F12" s="183"/>
      <c r="G12" s="183"/>
      <c r="H12" s="183"/>
      <c r="I12" s="183"/>
      <c r="J12" s="183"/>
      <c r="K12" s="183"/>
    </row>
    <row r="13" spans="1:12" ht="15" customHeight="1" x14ac:dyDescent="0.25">
      <c r="A13" s="183"/>
      <c r="B13" s="3" t="s">
        <v>9</v>
      </c>
      <c r="C13" s="3" t="s">
        <v>10</v>
      </c>
      <c r="D13" s="3" t="s">
        <v>11</v>
      </c>
      <c r="E13" s="3" t="s">
        <v>12</v>
      </c>
      <c r="F13" s="183"/>
      <c r="G13" s="183"/>
      <c r="H13" s="183"/>
      <c r="I13" s="183"/>
      <c r="J13" s="183"/>
      <c r="K13" s="183"/>
    </row>
    <row r="14" spans="1:12" ht="15" customHeight="1" x14ac:dyDescent="0.25">
      <c r="A14" s="183"/>
      <c r="B14" s="4" t="s">
        <v>13</v>
      </c>
      <c r="C14" s="5">
        <f>COUNTA('Controlo de Propinas'!B6:B105)</f>
        <v>9</v>
      </c>
      <c r="D14" s="6">
        <f>'Controlo de Propinas'!L106</f>
        <v>1730000</v>
      </c>
      <c r="E14" s="6">
        <f>'Controlo de Propinas'!N106</f>
        <v>1712000</v>
      </c>
      <c r="F14" s="183"/>
      <c r="G14" s="183"/>
      <c r="H14" s="183"/>
      <c r="I14" s="183"/>
      <c r="J14" s="183"/>
      <c r="K14" s="183"/>
    </row>
    <row r="15" spans="1:12" ht="15" customHeight="1" x14ac:dyDescent="0.25">
      <c r="A15" s="183"/>
      <c r="B15" s="7" t="s">
        <v>14</v>
      </c>
      <c r="C15" s="8">
        <f>COUNTA('Controlo de Propinas'!B110:B124)</f>
        <v>1</v>
      </c>
      <c r="D15" s="9">
        <f>'Controlo de Propinas'!L125</f>
        <v>180000</v>
      </c>
      <c r="E15" s="9">
        <f>'Controlo de Propinas'!N125</f>
        <v>180000</v>
      </c>
      <c r="F15" s="183"/>
      <c r="G15" s="183"/>
      <c r="H15" s="183"/>
      <c r="I15" s="183"/>
      <c r="J15" s="183"/>
      <c r="K15" s="183"/>
    </row>
    <row r="16" spans="1:12" ht="15" customHeight="1" x14ac:dyDescent="0.25">
      <c r="B16" s="10" t="s">
        <v>15</v>
      </c>
      <c r="C16" s="175">
        <f>COUNTA('Controlo de Propinas'!B129:B187)</f>
        <v>4</v>
      </c>
      <c r="D16" s="11">
        <f>'Controlo de Propinas'!L188</f>
        <v>834000</v>
      </c>
      <c r="E16" s="11">
        <f>'Controlo de Propinas'!N188</f>
        <v>834000</v>
      </c>
    </row>
    <row r="17" spans="1:11" ht="15" customHeight="1" x14ac:dyDescent="0.25">
      <c r="B17" s="10" t="s">
        <v>16</v>
      </c>
      <c r="C17" s="175">
        <f>COUNTA('Controlo de Propinas'!B192:B206)</f>
        <v>1</v>
      </c>
      <c r="D17" s="11">
        <f>'Controlo de Propinas'!L207</f>
        <v>180000</v>
      </c>
      <c r="E17" s="11">
        <f>'Controlo de Propinas'!N207</f>
        <v>180000</v>
      </c>
    </row>
    <row r="18" spans="1:11" ht="15" customHeight="1" x14ac:dyDescent="0.25">
      <c r="A18" s="183"/>
      <c r="B18" s="4" t="s">
        <v>17</v>
      </c>
      <c r="C18" s="5">
        <f>COUNTA('Controlo de Propinas'!B210:B248)</f>
        <v>1</v>
      </c>
      <c r="D18" s="6">
        <f>'Controlo de Propinas'!L249</f>
        <v>180000</v>
      </c>
      <c r="E18" s="6">
        <f>'Controlo de Propinas'!N249</f>
        <v>162000</v>
      </c>
      <c r="F18" s="183"/>
      <c r="G18" s="183"/>
      <c r="H18" s="183"/>
      <c r="I18" s="183"/>
      <c r="J18" s="183"/>
      <c r="K18" s="183"/>
    </row>
    <row r="19" spans="1:11" ht="15" customHeight="1" x14ac:dyDescent="0.25">
      <c r="A19" s="183"/>
      <c r="B19" s="12" t="s">
        <v>18</v>
      </c>
      <c r="C19" s="176">
        <f>C14+C15+C16+C17+C18</f>
        <v>16</v>
      </c>
      <c r="D19" s="14">
        <f>'Controlo de Propinas'!L295</f>
        <v>3294000</v>
      </c>
      <c r="E19" s="14">
        <f>'Controlo de Propinas'!N295</f>
        <v>3258000</v>
      </c>
      <c r="F19" s="183"/>
      <c r="G19" s="183"/>
      <c r="H19" s="183"/>
      <c r="I19" s="183"/>
      <c r="J19" s="183"/>
      <c r="K19" s="183"/>
    </row>
    <row r="20" spans="1:11" ht="15" customHeight="1" x14ac:dyDescent="0.25">
      <c r="A20" s="183"/>
      <c r="B20" s="183"/>
      <c r="C20" s="15"/>
      <c r="D20" s="1"/>
      <c r="E20" s="1"/>
      <c r="F20" s="183"/>
      <c r="G20" s="183"/>
      <c r="H20" s="183"/>
      <c r="I20" s="183"/>
      <c r="J20" s="183"/>
      <c r="K20" s="183"/>
    </row>
    <row r="21" spans="1:11" ht="15" customHeight="1" x14ac:dyDescent="0.25">
      <c r="A21" s="183"/>
      <c r="B21" s="180" t="s">
        <v>19</v>
      </c>
      <c r="F21" s="183"/>
      <c r="G21" s="183"/>
      <c r="H21" s="183"/>
      <c r="I21" s="183"/>
      <c r="J21" s="183"/>
      <c r="K21" s="183"/>
    </row>
    <row r="22" spans="1:11" ht="15" customHeight="1" x14ac:dyDescent="0.25">
      <c r="A22" s="183"/>
      <c r="B22" s="16" t="s">
        <v>20</v>
      </c>
      <c r="C22" s="17">
        <f>DRE!B4</f>
        <v>3088000</v>
      </c>
      <c r="D22" s="1"/>
      <c r="E22" s="1"/>
      <c r="F22" s="183"/>
      <c r="G22" s="183"/>
      <c r="H22" s="183"/>
      <c r="I22" s="183"/>
      <c r="J22" s="183"/>
      <c r="K22" s="183"/>
    </row>
    <row r="23" spans="1:11" ht="15" customHeight="1" x14ac:dyDescent="0.25">
      <c r="A23" s="183"/>
      <c r="B23" s="16" t="s">
        <v>21</v>
      </c>
      <c r="C23" s="17">
        <f>DRE!B5</f>
        <v>170000</v>
      </c>
      <c r="D23" s="183"/>
      <c r="E23" s="183"/>
      <c r="F23" s="183"/>
      <c r="G23" s="183"/>
      <c r="H23" s="183"/>
      <c r="I23" s="183"/>
      <c r="J23" s="183"/>
      <c r="K23" s="183"/>
    </row>
    <row r="24" spans="1:11" ht="15" customHeight="1" x14ac:dyDescent="0.25">
      <c r="A24" s="183"/>
      <c r="B24" s="182" t="s">
        <v>22</v>
      </c>
      <c r="C24" s="17">
        <f>DRE!B6+DRE!B7</f>
        <v>0</v>
      </c>
      <c r="D24" s="183"/>
      <c r="E24" s="183"/>
      <c r="F24" s="183"/>
      <c r="G24" s="183"/>
      <c r="H24" s="183"/>
      <c r="I24" s="183"/>
      <c r="J24" s="183"/>
      <c r="K24" s="183"/>
    </row>
    <row r="25" spans="1:11" ht="15" customHeight="1" x14ac:dyDescent="0.25">
      <c r="A25" s="183"/>
      <c r="B25" s="18" t="s">
        <v>23</v>
      </c>
      <c r="C25" s="19">
        <f>DRE!B8</f>
        <v>3258000</v>
      </c>
      <c r="D25" s="183"/>
      <c r="E25" s="183"/>
      <c r="F25" s="183"/>
      <c r="G25" s="183"/>
      <c r="H25" s="183"/>
      <c r="I25" s="183"/>
      <c r="J25" s="183"/>
      <c r="K25" s="183"/>
    </row>
    <row r="26" spans="1:11" ht="15" customHeight="1" x14ac:dyDescent="0.25">
      <c r="A26" s="183"/>
      <c r="B26" s="20" t="s">
        <v>24</v>
      </c>
      <c r="C26" s="17">
        <f>DRE!B23</f>
        <v>4988379.88</v>
      </c>
      <c r="D26" s="183"/>
      <c r="E26" s="183"/>
      <c r="F26" s="183"/>
      <c r="G26" s="183"/>
      <c r="H26" s="183"/>
      <c r="I26" s="183"/>
      <c r="J26" s="183"/>
      <c r="K26" s="183"/>
    </row>
    <row r="27" spans="1:11" ht="15" customHeight="1" x14ac:dyDescent="0.25">
      <c r="A27" s="183"/>
      <c r="B27" s="224" t="s">
        <v>25</v>
      </c>
      <c r="C27" s="225"/>
      <c r="D27" s="225"/>
      <c r="E27" s="223"/>
      <c r="F27" s="183"/>
      <c r="G27" s="183"/>
      <c r="H27" s="183"/>
      <c r="I27" s="183"/>
      <c r="J27" s="183"/>
      <c r="K27" s="183"/>
    </row>
    <row r="28" spans="1:11" ht="15" customHeight="1" x14ac:dyDescent="0.25">
      <c r="A28" s="183"/>
      <c r="B28" s="183"/>
      <c r="C28" s="1"/>
      <c r="D28" s="183"/>
      <c r="E28" s="183"/>
      <c r="F28" s="183"/>
      <c r="G28" s="183"/>
      <c r="H28" s="183"/>
      <c r="I28" s="183"/>
      <c r="J28" s="183"/>
      <c r="K28" s="183"/>
    </row>
    <row r="29" spans="1:11" ht="15" customHeight="1" x14ac:dyDescent="0.25">
      <c r="A29" s="183"/>
      <c r="B29" s="180" t="s">
        <v>26</v>
      </c>
      <c r="F29" s="183"/>
      <c r="G29" s="183"/>
      <c r="H29" s="183"/>
      <c r="I29" s="183"/>
      <c r="J29" s="183"/>
      <c r="K29" s="183"/>
    </row>
    <row r="30" spans="1:11" ht="15" customHeight="1" x14ac:dyDescent="0.25">
      <c r="A30" s="183"/>
      <c r="B30" s="3" t="s">
        <v>27</v>
      </c>
      <c r="C30" s="21" t="s">
        <v>28</v>
      </c>
      <c r="D30" s="3" t="s">
        <v>29</v>
      </c>
      <c r="E30" s="3" t="s">
        <v>30</v>
      </c>
      <c r="F30" s="183"/>
      <c r="G30" s="183"/>
      <c r="H30" s="183"/>
      <c r="I30" s="183"/>
      <c r="J30" s="183"/>
      <c r="K30" s="183"/>
    </row>
    <row r="31" spans="1:11" ht="15" customHeight="1" x14ac:dyDescent="0.25">
      <c r="A31" s="183"/>
      <c r="B31" s="22" t="s">
        <v>31</v>
      </c>
      <c r="C31" s="177">
        <f>'Fluxo de Caixa'!B4</f>
        <v>1168000</v>
      </c>
      <c r="D31" s="177">
        <f>'Fluxo de Caixa'!C4</f>
        <v>170000</v>
      </c>
      <c r="E31" s="177">
        <f>'Fluxo de Caixa'!H4</f>
        <v>2826379.88</v>
      </c>
      <c r="F31" s="183"/>
      <c r="G31" s="183"/>
      <c r="H31" s="183"/>
      <c r="I31" s="183"/>
      <c r="J31" s="183"/>
      <c r="K31" s="183"/>
    </row>
    <row r="32" spans="1:11" ht="15" customHeight="1" x14ac:dyDescent="0.25">
      <c r="A32" s="183"/>
      <c r="B32" s="182" t="s">
        <v>32</v>
      </c>
      <c r="C32" s="178">
        <f>'Fluxo de Caixa'!B5</f>
        <v>1720000</v>
      </c>
      <c r="D32" s="178">
        <f>'Fluxo de Caixa'!C5</f>
        <v>0</v>
      </c>
      <c r="E32" s="178">
        <f>'Fluxo de Caixa'!H5</f>
        <v>3058000</v>
      </c>
      <c r="F32" s="183"/>
      <c r="G32" s="183"/>
      <c r="H32" s="183"/>
      <c r="I32" s="183"/>
      <c r="J32" s="183"/>
      <c r="K32" s="183"/>
    </row>
    <row r="33" spans="1:12" ht="15" customHeight="1" x14ac:dyDescent="0.25">
      <c r="A33" s="183"/>
      <c r="B33" s="23" t="s">
        <v>33</v>
      </c>
      <c r="C33" s="179">
        <f>'Fluxo de Caixa'!B6</f>
        <v>0</v>
      </c>
      <c r="D33" s="179">
        <f>'Fluxo de Caixa'!C6</f>
        <v>0</v>
      </c>
      <c r="E33" s="179">
        <f>'Fluxo de Caixa'!H6</f>
        <v>3058000</v>
      </c>
      <c r="F33" s="183"/>
      <c r="G33" s="183"/>
      <c r="H33" s="183"/>
      <c r="I33" s="183"/>
      <c r="J33" s="183"/>
      <c r="K33" s="183"/>
    </row>
    <row r="34" spans="1:12" ht="15" customHeight="1" x14ac:dyDescent="0.25">
      <c r="A34" s="183"/>
      <c r="B34" s="181" t="s">
        <v>34</v>
      </c>
      <c r="C34" s="178">
        <f>'Fluxo de Caixa'!B7</f>
        <v>0</v>
      </c>
      <c r="D34" s="178">
        <f>'Fluxo de Caixa'!C7</f>
        <v>0</v>
      </c>
      <c r="E34" s="178">
        <f>'Fluxo de Caixa'!H7</f>
        <v>3058000</v>
      </c>
      <c r="F34" s="183"/>
      <c r="G34" s="183"/>
      <c r="H34" s="183"/>
      <c r="I34" s="183"/>
      <c r="J34" s="183"/>
      <c r="K34" s="183"/>
    </row>
    <row r="35" spans="1:12" ht="15" customHeight="1" x14ac:dyDescent="0.25">
      <c r="A35" s="183"/>
      <c r="B35" s="22" t="s">
        <v>35</v>
      </c>
      <c r="C35" s="177">
        <f>'Fluxo de Caixa'!B8</f>
        <v>0</v>
      </c>
      <c r="D35" s="177">
        <f>'Fluxo de Caixa'!C8</f>
        <v>0</v>
      </c>
      <c r="E35" s="177">
        <f>'Fluxo de Caixa'!H8</f>
        <v>3058000</v>
      </c>
      <c r="F35" s="183"/>
      <c r="G35" s="183"/>
      <c r="H35" s="183"/>
      <c r="I35" s="183"/>
      <c r="J35" s="183"/>
      <c r="K35" s="183"/>
    </row>
    <row r="36" spans="1:12" ht="15" customHeight="1" x14ac:dyDescent="0.25">
      <c r="A36" s="183"/>
      <c r="B36" s="243" t="s">
        <v>36</v>
      </c>
      <c r="C36" s="225"/>
      <c r="D36" s="225"/>
      <c r="E36" s="223"/>
      <c r="F36" s="183"/>
      <c r="G36" s="183"/>
      <c r="H36" s="183"/>
      <c r="I36" s="183"/>
      <c r="J36" s="183"/>
      <c r="K36" s="183"/>
    </row>
    <row r="37" spans="1:12" ht="15" customHeight="1" x14ac:dyDescent="0.25">
      <c r="A37" s="183"/>
      <c r="B37" s="183"/>
      <c r="C37" s="1"/>
      <c r="D37" s="1"/>
      <c r="E37" s="1"/>
      <c r="F37" s="183"/>
      <c r="G37" s="183"/>
      <c r="H37" s="183"/>
      <c r="I37" s="183"/>
      <c r="J37" s="183"/>
      <c r="K37" s="183"/>
    </row>
    <row r="38" spans="1:12" ht="15" customHeight="1" x14ac:dyDescent="0.25">
      <c r="A38" s="183"/>
      <c r="B38" s="180" t="s">
        <v>37</v>
      </c>
      <c r="F38" s="183"/>
      <c r="G38" s="183"/>
      <c r="H38" s="183"/>
      <c r="I38" s="183"/>
      <c r="J38" s="183"/>
      <c r="K38" s="183"/>
    </row>
    <row r="39" spans="1:12" ht="18" customHeight="1" x14ac:dyDescent="0.25">
      <c r="A39" s="183"/>
      <c r="B39" s="24" t="s">
        <v>38</v>
      </c>
      <c r="C39" s="17">
        <f>COUNTIF(Mensalidades!E6:E80,"&gt;0")+COUNTIF(Mensalidades!E85:E159,"&gt;0")+COUNTIF(Mensalidades!E164:E238,"&gt;0")+COUNTIF(Mensalidades!E243:E317,"&gt;0")</f>
        <v>0</v>
      </c>
      <c r="D39" s="1"/>
      <c r="E39" s="1"/>
      <c r="F39" s="183"/>
      <c r="G39" s="183"/>
      <c r="H39" s="183"/>
      <c r="I39" s="183"/>
      <c r="J39" s="183"/>
      <c r="K39" s="183"/>
    </row>
    <row r="40" spans="1:12" ht="15" customHeight="1" x14ac:dyDescent="0.25">
      <c r="A40" s="183"/>
      <c r="B40" s="24" t="s">
        <v>39</v>
      </c>
      <c r="C40" s="25">
        <f>COUNTIFS(Mensalidades!B6:B80,"&lt;&gt;",Mensalidades!E6:E80,0)+COUNTIFS(Mensalidades!B85:B159,"&lt;&gt;",Mensalidades!E85:E159,0)+COUNTIFS(Mensalidades!B164:B238,"&lt;&gt;",Mensalidades!E164:E238,0)+COUNTIFS(Mensalidades!B243:B317,"&lt;&gt;",Mensalidades!E243:E317,0)</f>
        <v>212</v>
      </c>
      <c r="D40" s="183"/>
      <c r="E40" s="183"/>
      <c r="F40" s="183"/>
      <c r="G40" s="183"/>
      <c r="H40" s="183"/>
      <c r="I40" s="183"/>
      <c r="J40" s="183"/>
      <c r="K40" s="183"/>
    </row>
    <row r="41" spans="1:12" ht="15" customHeight="1" x14ac:dyDescent="0.25">
      <c r="A41" s="183"/>
      <c r="B41" s="245" t="s">
        <v>40</v>
      </c>
      <c r="C41" s="225"/>
      <c r="D41" s="225"/>
      <c r="E41" s="223"/>
      <c r="F41" s="183"/>
      <c r="G41" s="183"/>
      <c r="H41" s="183"/>
      <c r="I41" s="183"/>
      <c r="J41" s="183"/>
      <c r="K41" s="183"/>
    </row>
    <row r="42" spans="1:12" ht="15" customHeight="1" x14ac:dyDescent="0.25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</row>
    <row r="43" spans="1:12" ht="15" customHeight="1" x14ac:dyDescent="0.25">
      <c r="A43" s="183"/>
      <c r="B43" s="180" t="s">
        <v>41</v>
      </c>
      <c r="F43" s="183"/>
      <c r="G43" s="183"/>
      <c r="H43" s="183"/>
      <c r="I43" s="183"/>
      <c r="J43" s="183"/>
      <c r="K43" s="183"/>
    </row>
    <row r="44" spans="1:12" ht="15" customHeight="1" x14ac:dyDescent="0.25">
      <c r="A44" s="183"/>
      <c r="B44" s="181" t="s">
        <v>42</v>
      </c>
      <c r="C44" s="26">
        <v>3</v>
      </c>
      <c r="D44" s="16" t="s">
        <v>43</v>
      </c>
      <c r="E44" s="183"/>
      <c r="F44" s="183"/>
      <c r="G44" s="183"/>
      <c r="H44" s="183"/>
      <c r="I44" s="183"/>
      <c r="J44" s="183"/>
      <c r="K44" s="183"/>
    </row>
    <row r="45" spans="1:12" ht="15" customHeight="1" x14ac:dyDescent="0.25">
      <c r="A45" s="183"/>
      <c r="B45" s="181" t="s">
        <v>44</v>
      </c>
      <c r="C45" s="16">
        <v>4</v>
      </c>
      <c r="D45" s="16" t="s">
        <v>45</v>
      </c>
      <c r="E45" s="183"/>
      <c r="F45" s="183"/>
      <c r="G45" s="183"/>
      <c r="H45" s="183"/>
      <c r="I45" s="183"/>
      <c r="J45" s="183"/>
      <c r="K45" s="183"/>
    </row>
    <row r="46" spans="1:12" ht="15" customHeight="1" x14ac:dyDescent="0.25">
      <c r="A46" s="183"/>
      <c r="B46" s="242" t="s">
        <v>46</v>
      </c>
      <c r="C46" s="225"/>
      <c r="D46" s="225"/>
      <c r="E46" s="225"/>
      <c r="F46" s="225"/>
      <c r="G46" s="225"/>
      <c r="H46" s="225"/>
      <c r="I46" s="225"/>
      <c r="J46" s="225"/>
      <c r="K46" s="225"/>
      <c r="L46" s="223"/>
    </row>
    <row r="47" spans="1:12" ht="15" customHeight="1" x14ac:dyDescent="0.25">
      <c r="A47" s="183"/>
      <c r="B47" s="240"/>
      <c r="C47" s="221"/>
      <c r="D47" s="221"/>
      <c r="E47" s="221"/>
      <c r="F47" s="221"/>
      <c r="G47" s="221"/>
      <c r="H47" s="221"/>
      <c r="I47" s="221"/>
      <c r="J47" s="221"/>
      <c r="K47" s="221"/>
      <c r="L47" s="221"/>
    </row>
    <row r="48" spans="1:12" ht="15" customHeight="1" x14ac:dyDescent="0.25">
      <c r="A48" s="183"/>
      <c r="B48" s="189" t="s">
        <v>47</v>
      </c>
    </row>
    <row r="49" spans="1:11" ht="15" customHeight="1" x14ac:dyDescent="0.25">
      <c r="A49" s="183"/>
      <c r="B49" s="27" t="s">
        <v>48</v>
      </c>
    </row>
    <row r="50" spans="1:11" ht="15" customHeight="1" x14ac:dyDescent="0.25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</row>
    <row r="51" spans="1:11" x14ac:dyDescent="0.25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</row>
    <row r="52" spans="1:11" x14ac:dyDescent="0.25">
      <c r="A52" s="183"/>
      <c r="B52" s="15"/>
      <c r="C52" s="183"/>
      <c r="D52" s="183"/>
      <c r="E52" s="183"/>
      <c r="F52" s="183"/>
      <c r="G52" s="183"/>
      <c r="H52" s="183"/>
      <c r="I52" s="183"/>
      <c r="J52" s="183"/>
      <c r="K52" s="183"/>
    </row>
  </sheetData>
  <mergeCells count="24">
    <mergeCell ref="K9:L9"/>
    <mergeCell ref="B47:L47"/>
    <mergeCell ref="K5:L5"/>
    <mergeCell ref="B46:L46"/>
    <mergeCell ref="B36:E36"/>
    <mergeCell ref="D6:E6"/>
    <mergeCell ref="B41:E41"/>
    <mergeCell ref="G10:H10"/>
    <mergeCell ref="B2:L2"/>
    <mergeCell ref="G6:H6"/>
    <mergeCell ref="B27:E27"/>
    <mergeCell ref="B12:E12"/>
    <mergeCell ref="B10:C10"/>
    <mergeCell ref="G5:H5"/>
    <mergeCell ref="B9:C9"/>
    <mergeCell ref="D9:E9"/>
    <mergeCell ref="B6:C6"/>
    <mergeCell ref="B5:C5"/>
    <mergeCell ref="K10:L10"/>
    <mergeCell ref="D5:E5"/>
    <mergeCell ref="K6:L6"/>
    <mergeCell ref="G9:H9"/>
    <mergeCell ref="D10:E10"/>
    <mergeCell ref="B3:L3"/>
  </mergeCell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4"/>
  <sheetViews>
    <sheetView zoomScaleNormal="100" workbookViewId="0">
      <selection activeCell="G10" sqref="G10"/>
    </sheetView>
  </sheetViews>
  <sheetFormatPr defaultColWidth="8.5703125" defaultRowHeight="15" x14ac:dyDescent="0.25"/>
  <cols>
    <col min="1" max="1" width="12" style="188" customWidth="1"/>
    <col min="2" max="2" width="45" style="188" customWidth="1"/>
  </cols>
  <sheetData>
    <row r="1" spans="1:2" ht="17.25" customHeight="1" x14ac:dyDescent="0.25">
      <c r="A1" s="247" t="s">
        <v>49</v>
      </c>
      <c r="B1" s="221"/>
    </row>
    <row r="2" spans="1:2" ht="15" customHeight="1" x14ac:dyDescent="0.25">
      <c r="A2" s="28" t="s">
        <v>50</v>
      </c>
      <c r="B2" s="28" t="s">
        <v>51</v>
      </c>
    </row>
    <row r="3" spans="1:2" ht="15" customHeight="1" x14ac:dyDescent="0.25">
      <c r="A3" s="29">
        <v>11</v>
      </c>
      <c r="B3" s="181" t="s">
        <v>52</v>
      </c>
    </row>
    <row r="4" spans="1:2" ht="15" customHeight="1" x14ac:dyDescent="0.25">
      <c r="A4" s="29">
        <v>31</v>
      </c>
      <c r="B4" s="181" t="s">
        <v>53</v>
      </c>
    </row>
    <row r="5" spans="1:2" ht="15" customHeight="1" x14ac:dyDescent="0.25">
      <c r="A5" s="29">
        <v>36</v>
      </c>
      <c r="B5" s="181" t="s">
        <v>54</v>
      </c>
    </row>
    <row r="6" spans="1:2" ht="15" customHeight="1" x14ac:dyDescent="0.25">
      <c r="A6" s="29">
        <v>41</v>
      </c>
      <c r="B6" s="181" t="s">
        <v>55</v>
      </c>
    </row>
    <row r="7" spans="1:2" ht="15" customHeight="1" x14ac:dyDescent="0.25">
      <c r="A7" s="29">
        <v>61</v>
      </c>
      <c r="B7" s="181" t="s">
        <v>56</v>
      </c>
    </row>
    <row r="8" spans="1:2" ht="15" customHeight="1" x14ac:dyDescent="0.25">
      <c r="A8" s="29">
        <v>62</v>
      </c>
      <c r="B8" s="181" t="s">
        <v>57</v>
      </c>
    </row>
    <row r="9" spans="1:2" ht="15" customHeight="1" x14ac:dyDescent="0.25">
      <c r="A9" s="29">
        <v>71</v>
      </c>
      <c r="B9" s="181" t="s">
        <v>58</v>
      </c>
    </row>
    <row r="10" spans="1:2" ht="15" customHeight="1" x14ac:dyDescent="0.25">
      <c r="A10" s="29">
        <v>81</v>
      </c>
      <c r="B10" s="181" t="s">
        <v>59</v>
      </c>
    </row>
    <row r="11" spans="1:2" ht="15" customHeight="1" x14ac:dyDescent="0.25">
      <c r="A11" s="29">
        <v>82</v>
      </c>
      <c r="B11" s="181" t="s">
        <v>60</v>
      </c>
    </row>
    <row r="12" spans="1:2" ht="15" customHeight="1" x14ac:dyDescent="0.25">
      <c r="A12" s="29">
        <v>83</v>
      </c>
      <c r="B12" s="181" t="s">
        <v>22</v>
      </c>
    </row>
    <row r="13" spans="1:2" ht="15" customHeight="1" x14ac:dyDescent="0.25">
      <c r="B13" s="30"/>
    </row>
    <row r="14" spans="1:2" ht="15" customHeight="1" x14ac:dyDescent="0.25">
      <c r="B14" s="30"/>
    </row>
  </sheetData>
  <mergeCells count="1">
    <mergeCell ref="A1:B1"/>
  </mergeCells>
  <printOptions horizontalCentered="1"/>
  <pageMargins left="0.4" right="0.4" top="0.5" bottom="0.5" header="0.2" footer="0.2"/>
  <pageSetup paperSize="9" fitToHeight="0" orientation="portrait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95"/>
  <sheetViews>
    <sheetView tabSelected="1" zoomScaleNormal="100" workbookViewId="0">
      <pane ySplit="3" topLeftCell="A4" activePane="bottomLeft" state="frozen"/>
      <selection pane="bottomLeft" activeCell="G133" sqref="G133"/>
    </sheetView>
  </sheetViews>
  <sheetFormatPr defaultColWidth="8.5703125" defaultRowHeight="15" x14ac:dyDescent="0.25"/>
  <cols>
    <col min="1" max="1" width="10.85546875" style="188" customWidth="1"/>
    <col min="2" max="2" width="41.85546875" style="188" customWidth="1"/>
    <col min="3" max="3" width="14" style="188" customWidth="1"/>
    <col min="4" max="4" width="11" style="188" customWidth="1"/>
    <col min="5" max="7" width="10" style="188" customWidth="1"/>
    <col min="8" max="8" width="11" style="188" customWidth="1"/>
    <col min="9" max="9" width="14" style="188" customWidth="1"/>
    <col min="10" max="11" width="12" style="188" customWidth="1"/>
    <col min="12" max="12" width="9" style="188" customWidth="1"/>
    <col min="13" max="13" width="13" style="188" customWidth="1"/>
    <col min="14" max="14" width="18" style="188" customWidth="1"/>
  </cols>
  <sheetData>
    <row r="1" spans="1:15" ht="24" customHeight="1" x14ac:dyDescent="0.25">
      <c r="A1" s="251" t="s">
        <v>61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5" ht="15" customHeight="1" x14ac:dyDescent="0.25">
      <c r="A2" s="248" t="s">
        <v>62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</row>
    <row r="4" spans="1:15" ht="19.5" customHeight="1" x14ac:dyDescent="0.25">
      <c r="A4" s="252" t="s">
        <v>63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</row>
    <row r="5" spans="1:15" ht="25.5" customHeight="1" x14ac:dyDescent="0.25">
      <c r="A5" s="31" t="s">
        <v>64</v>
      </c>
      <c r="B5" s="31" t="s">
        <v>65</v>
      </c>
      <c r="C5" s="31" t="s">
        <v>66</v>
      </c>
      <c r="D5" s="31" t="s">
        <v>67</v>
      </c>
      <c r="E5" s="31" t="s">
        <v>68</v>
      </c>
      <c r="F5" s="31" t="s">
        <v>69</v>
      </c>
      <c r="G5" s="31" t="s">
        <v>70</v>
      </c>
      <c r="H5" s="31" t="s">
        <v>71</v>
      </c>
      <c r="I5" s="31" t="s">
        <v>72</v>
      </c>
      <c r="J5" s="31" t="s">
        <v>73</v>
      </c>
      <c r="K5" s="31" t="s">
        <v>74</v>
      </c>
      <c r="L5" s="31" t="s">
        <v>11</v>
      </c>
      <c r="M5" s="31" t="s">
        <v>75</v>
      </c>
      <c r="N5" s="31" t="s">
        <v>12</v>
      </c>
      <c r="O5" s="31" t="s">
        <v>76</v>
      </c>
    </row>
    <row r="6" spans="1:15" ht="15" customHeight="1" x14ac:dyDescent="0.25">
      <c r="A6" s="32" t="s">
        <v>77</v>
      </c>
      <c r="B6" s="32" t="s">
        <v>78</v>
      </c>
      <c r="C6" s="32" t="s">
        <v>13</v>
      </c>
      <c r="D6" s="33">
        <v>150000</v>
      </c>
      <c r="E6" s="33"/>
      <c r="F6" s="33"/>
      <c r="G6" s="33">
        <v>30000</v>
      </c>
      <c r="H6" s="33"/>
      <c r="I6" s="33"/>
      <c r="J6" s="33"/>
      <c r="K6" s="219">
        <v>46229</v>
      </c>
      <c r="L6" s="193">
        <f t="shared" ref="L6:L37" si="0">IF(B6="","",SUM(D6:J6))</f>
        <v>180000</v>
      </c>
      <c r="M6" s="34">
        <v>0.1</v>
      </c>
      <c r="N6" s="193">
        <f t="shared" ref="N6:N37" si="1">IF(B6="","",L6*(1-IF(M6="",0,M6)))</f>
        <v>162000</v>
      </c>
      <c r="O6" s="32"/>
    </row>
    <row r="7" spans="1:15" ht="15" customHeight="1" x14ac:dyDescent="0.25">
      <c r="A7" s="32" t="s">
        <v>79</v>
      </c>
      <c r="B7" s="32" t="s">
        <v>80</v>
      </c>
      <c r="C7" s="32" t="s">
        <v>81</v>
      </c>
      <c r="D7" s="33">
        <v>150000</v>
      </c>
      <c r="E7" s="33"/>
      <c r="F7" s="33"/>
      <c r="G7" s="33">
        <v>30000</v>
      </c>
      <c r="H7" s="33"/>
      <c r="I7" s="33"/>
      <c r="J7" s="33"/>
      <c r="K7" s="219">
        <v>46235</v>
      </c>
      <c r="L7" s="193">
        <f t="shared" si="0"/>
        <v>180000</v>
      </c>
      <c r="M7" s="34">
        <v>0</v>
      </c>
      <c r="N7" s="193">
        <f t="shared" si="1"/>
        <v>180000</v>
      </c>
      <c r="O7" s="32"/>
    </row>
    <row r="8" spans="1:15" ht="15" customHeight="1" x14ac:dyDescent="0.25">
      <c r="A8" s="32" t="s">
        <v>82</v>
      </c>
      <c r="B8" s="32" t="s">
        <v>83</v>
      </c>
      <c r="C8" s="32" t="s">
        <v>84</v>
      </c>
      <c r="D8" s="33">
        <v>150000</v>
      </c>
      <c r="E8" s="33"/>
      <c r="F8" s="33"/>
      <c r="G8" s="33">
        <v>30000</v>
      </c>
      <c r="H8" s="33"/>
      <c r="I8" s="33"/>
      <c r="J8" s="33"/>
      <c r="K8" s="219">
        <v>46235</v>
      </c>
      <c r="L8" s="193">
        <f t="shared" si="0"/>
        <v>180000</v>
      </c>
      <c r="M8" s="34">
        <v>0</v>
      </c>
      <c r="N8" s="193">
        <f t="shared" si="1"/>
        <v>180000</v>
      </c>
      <c r="O8" s="32"/>
    </row>
    <row r="9" spans="1:15" ht="15" customHeight="1" x14ac:dyDescent="0.25">
      <c r="A9" s="32" t="s">
        <v>85</v>
      </c>
      <c r="B9" s="32" t="s">
        <v>86</v>
      </c>
      <c r="C9" s="32" t="s">
        <v>84</v>
      </c>
      <c r="D9" s="33">
        <v>150000</v>
      </c>
      <c r="E9" s="33"/>
      <c r="F9" s="33"/>
      <c r="G9" s="33">
        <v>30000</v>
      </c>
      <c r="H9" s="33"/>
      <c r="I9" s="33"/>
      <c r="J9" s="33"/>
      <c r="K9" s="219">
        <v>46240</v>
      </c>
      <c r="L9" s="193">
        <f t="shared" si="0"/>
        <v>180000</v>
      </c>
      <c r="M9" s="34">
        <v>0</v>
      </c>
      <c r="N9" s="193">
        <f t="shared" si="1"/>
        <v>180000</v>
      </c>
      <c r="O9" s="32"/>
    </row>
    <row r="10" spans="1:15" ht="15" customHeight="1" x14ac:dyDescent="0.25">
      <c r="A10" s="32" t="s">
        <v>87</v>
      </c>
      <c r="B10" s="32" t="s">
        <v>88</v>
      </c>
      <c r="C10" s="32" t="s">
        <v>89</v>
      </c>
      <c r="D10" s="33">
        <v>150000</v>
      </c>
      <c r="E10" s="33"/>
      <c r="F10" s="33"/>
      <c r="G10" s="33">
        <v>30000</v>
      </c>
      <c r="H10" s="33"/>
      <c r="I10" s="33"/>
      <c r="J10" s="33"/>
      <c r="K10" s="219">
        <v>46237</v>
      </c>
      <c r="L10" s="193">
        <f t="shared" si="0"/>
        <v>180000</v>
      </c>
      <c r="M10" s="34">
        <v>0</v>
      </c>
      <c r="N10" s="193">
        <f t="shared" si="1"/>
        <v>180000</v>
      </c>
      <c r="O10" s="32"/>
    </row>
    <row r="11" spans="1:15" ht="15" customHeight="1" x14ac:dyDescent="0.25">
      <c r="A11" s="32" t="s">
        <v>90</v>
      </c>
      <c r="B11" s="32" t="s">
        <v>91</v>
      </c>
      <c r="C11" s="32" t="s">
        <v>89</v>
      </c>
      <c r="D11" s="33">
        <v>150000</v>
      </c>
      <c r="E11" s="33"/>
      <c r="F11" s="33"/>
      <c r="G11" s="33">
        <v>30000</v>
      </c>
      <c r="H11" s="33"/>
      <c r="I11" s="33"/>
      <c r="J11" s="33"/>
      <c r="K11" s="219">
        <v>46240</v>
      </c>
      <c r="L11" s="193">
        <f t="shared" si="0"/>
        <v>180000</v>
      </c>
      <c r="M11" s="34">
        <v>0</v>
      </c>
      <c r="N11" s="193">
        <f t="shared" si="1"/>
        <v>180000</v>
      </c>
      <c r="O11" s="32"/>
    </row>
    <row r="12" spans="1:15" ht="15" customHeight="1" x14ac:dyDescent="0.25">
      <c r="A12" s="32" t="s">
        <v>92</v>
      </c>
      <c r="B12" s="32" t="s">
        <v>93</v>
      </c>
      <c r="C12" s="32" t="s">
        <v>89</v>
      </c>
      <c r="D12" s="33">
        <v>150000</v>
      </c>
      <c r="E12" s="33"/>
      <c r="F12" s="33"/>
      <c r="G12" s="33">
        <v>30000</v>
      </c>
      <c r="H12" s="33"/>
      <c r="I12" s="33"/>
      <c r="J12" s="33">
        <v>170000</v>
      </c>
      <c r="K12" s="219">
        <v>46232</v>
      </c>
      <c r="L12" s="193">
        <f t="shared" si="0"/>
        <v>350000</v>
      </c>
      <c r="M12" s="34">
        <v>0</v>
      </c>
      <c r="N12" s="193">
        <f t="shared" si="1"/>
        <v>350000</v>
      </c>
      <c r="O12" s="32"/>
    </row>
    <row r="13" spans="1:15" ht="15" customHeight="1" x14ac:dyDescent="0.25">
      <c r="A13" s="32" t="s">
        <v>94</v>
      </c>
      <c r="B13" s="32" t="s">
        <v>95</v>
      </c>
      <c r="C13" s="32" t="s">
        <v>81</v>
      </c>
      <c r="D13" s="33">
        <v>150000</v>
      </c>
      <c r="E13" s="33"/>
      <c r="F13" s="33"/>
      <c r="G13" s="33">
        <v>0</v>
      </c>
      <c r="H13" s="33"/>
      <c r="I13" s="33"/>
      <c r="J13" s="33"/>
      <c r="K13" s="219">
        <v>46255</v>
      </c>
      <c r="L13" s="193">
        <f t="shared" si="0"/>
        <v>150000</v>
      </c>
      <c r="M13" s="34">
        <v>0</v>
      </c>
      <c r="N13" s="193">
        <f t="shared" si="1"/>
        <v>150000</v>
      </c>
      <c r="O13" s="32"/>
    </row>
    <row r="14" spans="1:15" ht="15" customHeight="1" x14ac:dyDescent="0.25">
      <c r="A14" s="32" t="s">
        <v>96</v>
      </c>
      <c r="B14" s="32" t="s">
        <v>97</v>
      </c>
      <c r="C14" s="32" t="s">
        <v>89</v>
      </c>
      <c r="D14" s="33">
        <v>150000</v>
      </c>
      <c r="E14" s="33"/>
      <c r="F14" s="33"/>
      <c r="G14" s="33">
        <v>0</v>
      </c>
      <c r="H14" s="33"/>
      <c r="I14" s="33"/>
      <c r="J14" s="33"/>
      <c r="K14" s="219">
        <v>46245</v>
      </c>
      <c r="L14" s="193">
        <f t="shared" si="0"/>
        <v>150000</v>
      </c>
      <c r="M14" s="34">
        <v>0</v>
      </c>
      <c r="N14" s="193">
        <f t="shared" si="1"/>
        <v>150000</v>
      </c>
      <c r="O14" s="32"/>
    </row>
    <row r="15" spans="1:15" ht="15" customHeight="1" x14ac:dyDescent="0.25">
      <c r="A15" s="32"/>
      <c r="B15" s="32"/>
      <c r="C15" s="32"/>
      <c r="D15" s="33"/>
      <c r="E15" s="33"/>
      <c r="F15" s="33"/>
      <c r="G15" s="33"/>
      <c r="H15" s="33"/>
      <c r="I15" s="33"/>
      <c r="J15" s="33"/>
      <c r="K15" s="219"/>
      <c r="L15" s="193" t="str">
        <f t="shared" si="0"/>
        <v/>
      </c>
      <c r="M15" s="34"/>
      <c r="N15" s="193" t="str">
        <f t="shared" si="1"/>
        <v/>
      </c>
      <c r="O15" s="32"/>
    </row>
    <row r="16" spans="1:15" ht="15" customHeight="1" x14ac:dyDescent="0.25">
      <c r="A16" s="32"/>
      <c r="B16" s="32"/>
      <c r="C16" s="32"/>
      <c r="D16" s="33"/>
      <c r="E16" s="33"/>
      <c r="F16" s="33"/>
      <c r="G16" s="33"/>
      <c r="H16" s="33"/>
      <c r="I16" s="33"/>
      <c r="J16" s="33"/>
      <c r="K16" s="219"/>
      <c r="L16" s="193" t="str">
        <f t="shared" si="0"/>
        <v/>
      </c>
      <c r="M16" s="34"/>
      <c r="N16" s="193" t="str">
        <f t="shared" si="1"/>
        <v/>
      </c>
      <c r="O16" s="32"/>
    </row>
    <row r="17" spans="1:15" ht="15" customHeight="1" x14ac:dyDescent="0.25">
      <c r="A17" s="32"/>
      <c r="B17" s="32"/>
      <c r="C17" s="32"/>
      <c r="D17" s="33"/>
      <c r="E17" s="33"/>
      <c r="F17" s="33"/>
      <c r="G17" s="33"/>
      <c r="H17" s="33"/>
      <c r="I17" s="33"/>
      <c r="J17" s="33"/>
      <c r="K17" s="219"/>
      <c r="L17" s="193" t="str">
        <f t="shared" si="0"/>
        <v/>
      </c>
      <c r="M17" s="34"/>
      <c r="N17" s="193" t="str">
        <f t="shared" si="1"/>
        <v/>
      </c>
      <c r="O17" s="32"/>
    </row>
    <row r="18" spans="1:15" ht="15" customHeight="1" x14ac:dyDescent="0.25">
      <c r="A18" s="32"/>
      <c r="B18" s="32"/>
      <c r="C18" s="32"/>
      <c r="D18" s="33"/>
      <c r="E18" s="33"/>
      <c r="F18" s="33"/>
      <c r="G18" s="33"/>
      <c r="H18" s="33"/>
      <c r="I18" s="33"/>
      <c r="J18" s="33"/>
      <c r="K18" s="219"/>
      <c r="L18" s="193" t="str">
        <f t="shared" si="0"/>
        <v/>
      </c>
      <c r="M18" s="34"/>
      <c r="N18" s="193" t="str">
        <f t="shared" si="1"/>
        <v/>
      </c>
      <c r="O18" s="32"/>
    </row>
    <row r="19" spans="1:15" ht="15" customHeight="1" x14ac:dyDescent="0.25">
      <c r="A19" s="32"/>
      <c r="B19" s="32"/>
      <c r="C19" s="32"/>
      <c r="D19" s="33"/>
      <c r="E19" s="33"/>
      <c r="F19" s="33"/>
      <c r="G19" s="33"/>
      <c r="H19" s="33"/>
      <c r="I19" s="33"/>
      <c r="J19" s="33"/>
      <c r="K19" s="219"/>
      <c r="L19" s="193" t="str">
        <f t="shared" si="0"/>
        <v/>
      </c>
      <c r="M19" s="34"/>
      <c r="N19" s="193" t="str">
        <f t="shared" si="1"/>
        <v/>
      </c>
      <c r="O19" s="32"/>
    </row>
    <row r="20" spans="1:15" ht="15" customHeight="1" x14ac:dyDescent="0.25">
      <c r="A20" s="32"/>
      <c r="B20" s="32"/>
      <c r="C20" s="32"/>
      <c r="D20" s="33"/>
      <c r="E20" s="33"/>
      <c r="F20" s="33"/>
      <c r="G20" s="33"/>
      <c r="H20" s="33"/>
      <c r="I20" s="33"/>
      <c r="J20" s="33"/>
      <c r="K20" s="219"/>
      <c r="L20" s="193" t="str">
        <f t="shared" si="0"/>
        <v/>
      </c>
      <c r="M20" s="34"/>
      <c r="N20" s="193" t="str">
        <f t="shared" si="1"/>
        <v/>
      </c>
      <c r="O20" s="32"/>
    </row>
    <row r="21" spans="1:15" ht="15" customHeight="1" x14ac:dyDescent="0.25">
      <c r="A21" s="32"/>
      <c r="B21" s="32"/>
      <c r="C21" s="32"/>
      <c r="D21" s="33"/>
      <c r="E21" s="33"/>
      <c r="F21" s="33"/>
      <c r="G21" s="33"/>
      <c r="H21" s="33"/>
      <c r="I21" s="33"/>
      <c r="J21" s="33"/>
      <c r="K21" s="219"/>
      <c r="L21" s="193" t="str">
        <f t="shared" si="0"/>
        <v/>
      </c>
      <c r="M21" s="34"/>
      <c r="N21" s="193" t="str">
        <f t="shared" si="1"/>
        <v/>
      </c>
      <c r="O21" s="32"/>
    </row>
    <row r="22" spans="1:15" ht="15" customHeight="1" x14ac:dyDescent="0.25">
      <c r="A22" s="32"/>
      <c r="B22" s="32"/>
      <c r="C22" s="32"/>
      <c r="D22" s="33"/>
      <c r="E22" s="33"/>
      <c r="F22" s="33"/>
      <c r="G22" s="33"/>
      <c r="H22" s="33"/>
      <c r="I22" s="33"/>
      <c r="J22" s="33"/>
      <c r="K22" s="219"/>
      <c r="L22" s="193" t="str">
        <f t="shared" si="0"/>
        <v/>
      </c>
      <c r="M22" s="34"/>
      <c r="N22" s="193" t="str">
        <f t="shared" si="1"/>
        <v/>
      </c>
      <c r="O22" s="32"/>
    </row>
    <row r="23" spans="1:15" ht="15" customHeight="1" x14ac:dyDescent="0.25">
      <c r="A23" s="32"/>
      <c r="B23" s="32"/>
      <c r="C23" s="32"/>
      <c r="D23" s="33"/>
      <c r="E23" s="33"/>
      <c r="F23" s="33"/>
      <c r="G23" s="33"/>
      <c r="H23" s="33"/>
      <c r="I23" s="33"/>
      <c r="J23" s="33"/>
      <c r="K23" s="219"/>
      <c r="L23" s="193" t="str">
        <f t="shared" si="0"/>
        <v/>
      </c>
      <c r="M23" s="34"/>
      <c r="N23" s="193" t="str">
        <f t="shared" si="1"/>
        <v/>
      </c>
      <c r="O23" s="32"/>
    </row>
    <row r="24" spans="1:15" ht="15" customHeight="1" x14ac:dyDescent="0.25">
      <c r="A24" s="32"/>
      <c r="B24" s="32"/>
      <c r="C24" s="32"/>
      <c r="D24" s="33"/>
      <c r="E24" s="33"/>
      <c r="F24" s="33"/>
      <c r="G24" s="33"/>
      <c r="H24" s="33"/>
      <c r="I24" s="33"/>
      <c r="J24" s="33"/>
      <c r="K24" s="219"/>
      <c r="L24" s="193" t="str">
        <f t="shared" si="0"/>
        <v/>
      </c>
      <c r="M24" s="34"/>
      <c r="N24" s="193" t="str">
        <f t="shared" si="1"/>
        <v/>
      </c>
      <c r="O24" s="32"/>
    </row>
    <row r="25" spans="1:15" ht="15" customHeight="1" x14ac:dyDescent="0.25">
      <c r="A25" s="32"/>
      <c r="B25" s="32"/>
      <c r="C25" s="32"/>
      <c r="D25" s="33"/>
      <c r="E25" s="33"/>
      <c r="F25" s="33"/>
      <c r="G25" s="33"/>
      <c r="H25" s="33"/>
      <c r="I25" s="33"/>
      <c r="J25" s="33"/>
      <c r="K25" s="219"/>
      <c r="L25" s="193" t="str">
        <f t="shared" si="0"/>
        <v/>
      </c>
      <c r="M25" s="34"/>
      <c r="N25" s="193" t="str">
        <f t="shared" si="1"/>
        <v/>
      </c>
      <c r="O25" s="32"/>
    </row>
    <row r="26" spans="1:15" ht="15" customHeight="1" x14ac:dyDescent="0.25">
      <c r="A26" s="32"/>
      <c r="B26" s="32"/>
      <c r="C26" s="32"/>
      <c r="D26" s="33"/>
      <c r="E26" s="33"/>
      <c r="F26" s="33"/>
      <c r="G26" s="33"/>
      <c r="H26" s="33"/>
      <c r="I26" s="33"/>
      <c r="J26" s="33"/>
      <c r="K26" s="219"/>
      <c r="L26" s="193" t="str">
        <f t="shared" si="0"/>
        <v/>
      </c>
      <c r="M26" s="34"/>
      <c r="N26" s="193" t="str">
        <f t="shared" si="1"/>
        <v/>
      </c>
      <c r="O26" s="32"/>
    </row>
    <row r="27" spans="1:15" ht="15" customHeight="1" x14ac:dyDescent="0.25">
      <c r="A27" s="32"/>
      <c r="B27" s="32"/>
      <c r="C27" s="32"/>
      <c r="D27" s="33"/>
      <c r="E27" s="33"/>
      <c r="F27" s="33"/>
      <c r="G27" s="33"/>
      <c r="H27" s="33"/>
      <c r="I27" s="33"/>
      <c r="J27" s="33"/>
      <c r="K27" s="219"/>
      <c r="L27" s="193" t="str">
        <f t="shared" si="0"/>
        <v/>
      </c>
      <c r="M27" s="34"/>
      <c r="N27" s="193" t="str">
        <f t="shared" si="1"/>
        <v/>
      </c>
      <c r="O27" s="32"/>
    </row>
    <row r="28" spans="1:15" ht="15" customHeight="1" x14ac:dyDescent="0.25">
      <c r="A28" s="32"/>
      <c r="B28" s="32"/>
      <c r="C28" s="32"/>
      <c r="D28" s="33"/>
      <c r="E28" s="33"/>
      <c r="F28" s="33"/>
      <c r="G28" s="33"/>
      <c r="H28" s="33"/>
      <c r="I28" s="33"/>
      <c r="J28" s="33"/>
      <c r="K28" s="219"/>
      <c r="L28" s="193" t="str">
        <f t="shared" si="0"/>
        <v/>
      </c>
      <c r="M28" s="34"/>
      <c r="N28" s="193" t="str">
        <f t="shared" si="1"/>
        <v/>
      </c>
      <c r="O28" s="32"/>
    </row>
    <row r="29" spans="1:15" ht="15" customHeight="1" x14ac:dyDescent="0.25">
      <c r="A29" s="32"/>
      <c r="B29" s="32"/>
      <c r="C29" s="32"/>
      <c r="D29" s="33"/>
      <c r="E29" s="33"/>
      <c r="F29" s="33"/>
      <c r="G29" s="33"/>
      <c r="H29" s="33"/>
      <c r="I29" s="33"/>
      <c r="J29" s="33"/>
      <c r="K29" s="219"/>
      <c r="L29" s="193" t="str">
        <f t="shared" si="0"/>
        <v/>
      </c>
      <c r="M29" s="34"/>
      <c r="N29" s="193" t="str">
        <f t="shared" si="1"/>
        <v/>
      </c>
      <c r="O29" s="32"/>
    </row>
    <row r="30" spans="1:15" ht="15" customHeight="1" x14ac:dyDescent="0.25">
      <c r="A30" s="32"/>
      <c r="B30" s="32"/>
      <c r="C30" s="32"/>
      <c r="D30" s="33"/>
      <c r="E30" s="33"/>
      <c r="F30" s="33"/>
      <c r="G30" s="33"/>
      <c r="H30" s="33"/>
      <c r="I30" s="33"/>
      <c r="J30" s="33"/>
      <c r="K30" s="219"/>
      <c r="L30" s="193" t="str">
        <f t="shared" si="0"/>
        <v/>
      </c>
      <c r="M30" s="34"/>
      <c r="N30" s="193" t="str">
        <f t="shared" si="1"/>
        <v/>
      </c>
      <c r="O30" s="32"/>
    </row>
    <row r="31" spans="1:15" ht="15" customHeight="1" x14ac:dyDescent="0.25">
      <c r="A31" s="32"/>
      <c r="B31" s="32"/>
      <c r="C31" s="32"/>
      <c r="D31" s="33"/>
      <c r="E31" s="33"/>
      <c r="F31" s="33"/>
      <c r="G31" s="33"/>
      <c r="H31" s="33"/>
      <c r="I31" s="33"/>
      <c r="J31" s="33"/>
      <c r="K31" s="219"/>
      <c r="L31" s="193" t="str">
        <f t="shared" si="0"/>
        <v/>
      </c>
      <c r="M31" s="34"/>
      <c r="N31" s="193" t="str">
        <f t="shared" si="1"/>
        <v/>
      </c>
      <c r="O31" s="32"/>
    </row>
    <row r="32" spans="1:15" ht="15" customHeight="1" x14ac:dyDescent="0.25">
      <c r="A32" s="32"/>
      <c r="B32" s="32"/>
      <c r="C32" s="32"/>
      <c r="D32" s="33"/>
      <c r="E32" s="33"/>
      <c r="F32" s="33"/>
      <c r="G32" s="33"/>
      <c r="H32" s="33"/>
      <c r="I32" s="33"/>
      <c r="J32" s="33"/>
      <c r="K32" s="219"/>
      <c r="L32" s="193" t="str">
        <f t="shared" si="0"/>
        <v/>
      </c>
      <c r="M32" s="34"/>
      <c r="N32" s="193" t="str">
        <f t="shared" si="1"/>
        <v/>
      </c>
      <c r="O32" s="32"/>
    </row>
    <row r="33" spans="1:15" ht="15" customHeight="1" x14ac:dyDescent="0.25">
      <c r="A33" s="32"/>
      <c r="B33" s="32"/>
      <c r="C33" s="32"/>
      <c r="D33" s="33"/>
      <c r="E33" s="33"/>
      <c r="F33" s="33"/>
      <c r="G33" s="33"/>
      <c r="H33" s="33"/>
      <c r="I33" s="33"/>
      <c r="J33" s="33"/>
      <c r="K33" s="219"/>
      <c r="L33" s="193" t="str">
        <f t="shared" si="0"/>
        <v/>
      </c>
      <c r="M33" s="34"/>
      <c r="N33" s="193" t="str">
        <f t="shared" si="1"/>
        <v/>
      </c>
      <c r="O33" s="32"/>
    </row>
    <row r="34" spans="1:15" ht="15" customHeight="1" x14ac:dyDescent="0.25">
      <c r="A34" s="32"/>
      <c r="B34" s="32"/>
      <c r="C34" s="32"/>
      <c r="D34" s="33"/>
      <c r="E34" s="33"/>
      <c r="F34" s="33"/>
      <c r="G34" s="33"/>
      <c r="H34" s="33"/>
      <c r="I34" s="33"/>
      <c r="J34" s="33"/>
      <c r="K34" s="219"/>
      <c r="L34" s="193" t="str">
        <f t="shared" si="0"/>
        <v/>
      </c>
      <c r="M34" s="34"/>
      <c r="N34" s="193" t="str">
        <f t="shared" si="1"/>
        <v/>
      </c>
      <c r="O34" s="32"/>
    </row>
    <row r="35" spans="1:15" ht="15" customHeight="1" x14ac:dyDescent="0.25">
      <c r="A35" s="32"/>
      <c r="B35" s="32"/>
      <c r="C35" s="32"/>
      <c r="D35" s="33"/>
      <c r="E35" s="33"/>
      <c r="F35" s="33"/>
      <c r="G35" s="33"/>
      <c r="H35" s="33"/>
      <c r="I35" s="33"/>
      <c r="J35" s="33"/>
      <c r="K35" s="219"/>
      <c r="L35" s="193" t="str">
        <f t="shared" si="0"/>
        <v/>
      </c>
      <c r="M35" s="34"/>
      <c r="N35" s="193" t="str">
        <f t="shared" si="1"/>
        <v/>
      </c>
      <c r="O35" s="32"/>
    </row>
    <row r="36" spans="1:15" ht="15" customHeight="1" x14ac:dyDescent="0.25">
      <c r="A36" s="32"/>
      <c r="B36" s="32"/>
      <c r="C36" s="32"/>
      <c r="D36" s="33"/>
      <c r="E36" s="33"/>
      <c r="F36" s="33"/>
      <c r="G36" s="33"/>
      <c r="H36" s="33"/>
      <c r="I36" s="33"/>
      <c r="J36" s="33"/>
      <c r="K36" s="219"/>
      <c r="L36" s="193" t="str">
        <f t="shared" si="0"/>
        <v/>
      </c>
      <c r="M36" s="34"/>
      <c r="N36" s="193" t="str">
        <f t="shared" si="1"/>
        <v/>
      </c>
      <c r="O36" s="32"/>
    </row>
    <row r="37" spans="1:15" ht="15" customHeight="1" x14ac:dyDescent="0.25">
      <c r="A37" s="32"/>
      <c r="B37" s="32"/>
      <c r="C37" s="32"/>
      <c r="D37" s="33"/>
      <c r="E37" s="33"/>
      <c r="F37" s="33"/>
      <c r="G37" s="33"/>
      <c r="H37" s="33"/>
      <c r="I37" s="33"/>
      <c r="J37" s="33"/>
      <c r="K37" s="219"/>
      <c r="L37" s="193" t="str">
        <f t="shared" si="0"/>
        <v/>
      </c>
      <c r="M37" s="34"/>
      <c r="N37" s="193" t="str">
        <f t="shared" si="1"/>
        <v/>
      </c>
      <c r="O37" s="32"/>
    </row>
    <row r="38" spans="1:15" ht="15" customHeight="1" x14ac:dyDescent="0.25">
      <c r="A38" s="32"/>
      <c r="B38" s="32"/>
      <c r="C38" s="32"/>
      <c r="D38" s="33"/>
      <c r="E38" s="33"/>
      <c r="F38" s="33"/>
      <c r="G38" s="33"/>
      <c r="H38" s="33"/>
      <c r="I38" s="33"/>
      <c r="J38" s="33"/>
      <c r="K38" s="219"/>
      <c r="L38" s="193" t="str">
        <f t="shared" ref="L38:L69" si="2">IF(B38="","",SUM(D38:J38))</f>
        <v/>
      </c>
      <c r="M38" s="34"/>
      <c r="N38" s="193" t="str">
        <f t="shared" ref="N38:N69" si="3">IF(B38="","",L38*(1-IF(M38="",0,M38)))</f>
        <v/>
      </c>
      <c r="O38" s="32"/>
    </row>
    <row r="39" spans="1:15" ht="15" customHeight="1" x14ac:dyDescent="0.25">
      <c r="A39" s="32"/>
      <c r="B39" s="32"/>
      <c r="C39" s="32"/>
      <c r="D39" s="33"/>
      <c r="E39" s="33"/>
      <c r="F39" s="33"/>
      <c r="G39" s="33"/>
      <c r="H39" s="33"/>
      <c r="I39" s="33"/>
      <c r="J39" s="33"/>
      <c r="K39" s="219"/>
      <c r="L39" s="193" t="str">
        <f t="shared" si="2"/>
        <v/>
      </c>
      <c r="M39" s="34"/>
      <c r="N39" s="193" t="str">
        <f t="shared" si="3"/>
        <v/>
      </c>
      <c r="O39" s="32"/>
    </row>
    <row r="40" spans="1:15" ht="15" customHeight="1" x14ac:dyDescent="0.25">
      <c r="A40" s="32"/>
      <c r="B40" s="32"/>
      <c r="C40" s="32"/>
      <c r="D40" s="33"/>
      <c r="E40" s="33"/>
      <c r="F40" s="33"/>
      <c r="G40" s="33"/>
      <c r="H40" s="33"/>
      <c r="I40" s="33"/>
      <c r="J40" s="33"/>
      <c r="K40" s="219"/>
      <c r="L40" s="193" t="str">
        <f t="shared" si="2"/>
        <v/>
      </c>
      <c r="M40" s="34"/>
      <c r="N40" s="193" t="str">
        <f t="shared" si="3"/>
        <v/>
      </c>
      <c r="O40" s="32"/>
    </row>
    <row r="41" spans="1:15" ht="15" customHeight="1" x14ac:dyDescent="0.25">
      <c r="A41" s="32"/>
      <c r="B41" s="32"/>
      <c r="C41" s="32"/>
      <c r="D41" s="33"/>
      <c r="E41" s="33"/>
      <c r="F41" s="33"/>
      <c r="G41" s="33"/>
      <c r="H41" s="33"/>
      <c r="I41" s="33"/>
      <c r="J41" s="33"/>
      <c r="K41" s="219"/>
      <c r="L41" s="193" t="str">
        <f t="shared" si="2"/>
        <v/>
      </c>
      <c r="M41" s="34"/>
      <c r="N41" s="193" t="str">
        <f t="shared" si="3"/>
        <v/>
      </c>
      <c r="O41" s="32"/>
    </row>
    <row r="42" spans="1:15" ht="15" customHeight="1" x14ac:dyDescent="0.25">
      <c r="A42" s="32"/>
      <c r="B42" s="32"/>
      <c r="C42" s="32"/>
      <c r="D42" s="33"/>
      <c r="E42" s="33"/>
      <c r="F42" s="33"/>
      <c r="G42" s="33"/>
      <c r="H42" s="33"/>
      <c r="I42" s="33"/>
      <c r="J42" s="33"/>
      <c r="K42" s="219"/>
      <c r="L42" s="193" t="str">
        <f t="shared" si="2"/>
        <v/>
      </c>
      <c r="M42" s="34"/>
      <c r="N42" s="193" t="str">
        <f t="shared" si="3"/>
        <v/>
      </c>
      <c r="O42" s="32"/>
    </row>
    <row r="43" spans="1:15" ht="15" customHeight="1" x14ac:dyDescent="0.25">
      <c r="A43" s="32"/>
      <c r="B43" s="32"/>
      <c r="C43" s="32"/>
      <c r="D43" s="33"/>
      <c r="E43" s="33"/>
      <c r="F43" s="33"/>
      <c r="G43" s="33"/>
      <c r="H43" s="33"/>
      <c r="I43" s="33"/>
      <c r="J43" s="33"/>
      <c r="K43" s="219"/>
      <c r="L43" s="193" t="str">
        <f t="shared" si="2"/>
        <v/>
      </c>
      <c r="M43" s="34"/>
      <c r="N43" s="193" t="str">
        <f t="shared" si="3"/>
        <v/>
      </c>
      <c r="O43" s="32"/>
    </row>
    <row r="44" spans="1:15" ht="15" customHeight="1" x14ac:dyDescent="0.25">
      <c r="A44" s="32"/>
      <c r="B44" s="32"/>
      <c r="C44" s="32"/>
      <c r="D44" s="33"/>
      <c r="E44" s="33"/>
      <c r="F44" s="33"/>
      <c r="G44" s="33"/>
      <c r="H44" s="33"/>
      <c r="I44" s="33"/>
      <c r="J44" s="33"/>
      <c r="K44" s="219"/>
      <c r="L44" s="193" t="str">
        <f t="shared" si="2"/>
        <v/>
      </c>
      <c r="M44" s="34"/>
      <c r="N44" s="193" t="str">
        <f t="shared" si="3"/>
        <v/>
      </c>
      <c r="O44" s="32"/>
    </row>
    <row r="45" spans="1:15" ht="15" customHeight="1" x14ac:dyDescent="0.25">
      <c r="A45" s="32"/>
      <c r="B45" s="32"/>
      <c r="C45" s="32"/>
      <c r="D45" s="33"/>
      <c r="E45" s="33"/>
      <c r="F45" s="33"/>
      <c r="G45" s="33"/>
      <c r="H45" s="33"/>
      <c r="I45" s="33"/>
      <c r="J45" s="33"/>
      <c r="K45" s="219"/>
      <c r="L45" s="193" t="str">
        <f t="shared" si="2"/>
        <v/>
      </c>
      <c r="M45" s="34"/>
      <c r="N45" s="193" t="str">
        <f t="shared" si="3"/>
        <v/>
      </c>
      <c r="O45" s="32"/>
    </row>
    <row r="46" spans="1:15" ht="15" customHeight="1" x14ac:dyDescent="0.25">
      <c r="A46" s="32"/>
      <c r="B46" s="32"/>
      <c r="C46" s="32"/>
      <c r="D46" s="33"/>
      <c r="E46" s="33"/>
      <c r="F46" s="33"/>
      <c r="G46" s="33"/>
      <c r="H46" s="33"/>
      <c r="I46" s="33"/>
      <c r="J46" s="33"/>
      <c r="K46" s="219"/>
      <c r="L46" s="193" t="str">
        <f t="shared" si="2"/>
        <v/>
      </c>
      <c r="M46" s="34"/>
      <c r="N46" s="193" t="str">
        <f t="shared" si="3"/>
        <v/>
      </c>
      <c r="O46" s="32"/>
    </row>
    <row r="47" spans="1:15" ht="15" customHeight="1" x14ac:dyDescent="0.25">
      <c r="A47" s="32"/>
      <c r="B47" s="32"/>
      <c r="C47" s="32"/>
      <c r="D47" s="33"/>
      <c r="E47" s="33"/>
      <c r="F47" s="33"/>
      <c r="G47" s="33"/>
      <c r="H47" s="33"/>
      <c r="I47" s="33"/>
      <c r="J47" s="33"/>
      <c r="K47" s="219"/>
      <c r="L47" s="193" t="str">
        <f t="shared" si="2"/>
        <v/>
      </c>
      <c r="M47" s="34"/>
      <c r="N47" s="193" t="str">
        <f t="shared" si="3"/>
        <v/>
      </c>
      <c r="O47" s="32"/>
    </row>
    <row r="48" spans="1:15" ht="15" customHeight="1" x14ac:dyDescent="0.25">
      <c r="A48" s="32"/>
      <c r="B48" s="32"/>
      <c r="C48" s="32"/>
      <c r="D48" s="33"/>
      <c r="E48" s="33"/>
      <c r="F48" s="33"/>
      <c r="G48" s="33"/>
      <c r="H48" s="33"/>
      <c r="I48" s="33"/>
      <c r="J48" s="33"/>
      <c r="K48" s="219"/>
      <c r="L48" s="193" t="str">
        <f t="shared" si="2"/>
        <v/>
      </c>
      <c r="M48" s="34"/>
      <c r="N48" s="193" t="str">
        <f t="shared" si="3"/>
        <v/>
      </c>
      <c r="O48" s="32"/>
    </row>
    <row r="49" spans="1:15" ht="15" customHeight="1" x14ac:dyDescent="0.25">
      <c r="A49" s="32"/>
      <c r="B49" s="32"/>
      <c r="C49" s="32"/>
      <c r="D49" s="33"/>
      <c r="E49" s="33"/>
      <c r="F49" s="33"/>
      <c r="G49" s="33"/>
      <c r="H49" s="33"/>
      <c r="I49" s="33"/>
      <c r="J49" s="33"/>
      <c r="K49" s="219"/>
      <c r="L49" s="193" t="str">
        <f t="shared" si="2"/>
        <v/>
      </c>
      <c r="M49" s="34"/>
      <c r="N49" s="193" t="str">
        <f t="shared" si="3"/>
        <v/>
      </c>
      <c r="O49" s="32"/>
    </row>
    <row r="50" spans="1:15" ht="15" customHeight="1" x14ac:dyDescent="0.25">
      <c r="A50" s="32"/>
      <c r="B50" s="32"/>
      <c r="C50" s="32"/>
      <c r="D50" s="33"/>
      <c r="E50" s="33"/>
      <c r="F50" s="33"/>
      <c r="G50" s="33"/>
      <c r="H50" s="33"/>
      <c r="I50" s="33"/>
      <c r="J50" s="33"/>
      <c r="K50" s="219"/>
      <c r="L50" s="193" t="str">
        <f t="shared" si="2"/>
        <v/>
      </c>
      <c r="M50" s="34"/>
      <c r="N50" s="193" t="str">
        <f t="shared" si="3"/>
        <v/>
      </c>
      <c r="O50" s="32"/>
    </row>
    <row r="51" spans="1:15" ht="15" customHeight="1" x14ac:dyDescent="0.25">
      <c r="A51" s="32"/>
      <c r="B51" s="32"/>
      <c r="C51" s="32"/>
      <c r="D51" s="33"/>
      <c r="E51" s="33"/>
      <c r="F51" s="33"/>
      <c r="G51" s="33"/>
      <c r="H51" s="33"/>
      <c r="I51" s="33"/>
      <c r="J51" s="33"/>
      <c r="K51" s="219"/>
      <c r="L51" s="193" t="str">
        <f t="shared" si="2"/>
        <v/>
      </c>
      <c r="M51" s="34"/>
      <c r="N51" s="193" t="str">
        <f t="shared" si="3"/>
        <v/>
      </c>
      <c r="O51" s="32"/>
    </row>
    <row r="52" spans="1:15" ht="15" customHeight="1" x14ac:dyDescent="0.25">
      <c r="A52" s="32"/>
      <c r="B52" s="32"/>
      <c r="C52" s="32"/>
      <c r="D52" s="33"/>
      <c r="E52" s="33"/>
      <c r="F52" s="33"/>
      <c r="G52" s="33"/>
      <c r="H52" s="33"/>
      <c r="I52" s="33"/>
      <c r="J52" s="33"/>
      <c r="K52" s="219"/>
      <c r="L52" s="193" t="str">
        <f t="shared" si="2"/>
        <v/>
      </c>
      <c r="M52" s="34"/>
      <c r="N52" s="193" t="str">
        <f t="shared" si="3"/>
        <v/>
      </c>
      <c r="O52" s="32"/>
    </row>
    <row r="53" spans="1:15" ht="15" customHeight="1" x14ac:dyDescent="0.25">
      <c r="A53" s="32"/>
      <c r="B53" s="32"/>
      <c r="C53" s="32"/>
      <c r="D53" s="33"/>
      <c r="E53" s="33"/>
      <c r="F53" s="33"/>
      <c r="G53" s="33"/>
      <c r="H53" s="33"/>
      <c r="I53" s="33"/>
      <c r="J53" s="33"/>
      <c r="K53" s="219"/>
      <c r="L53" s="193" t="str">
        <f t="shared" si="2"/>
        <v/>
      </c>
      <c r="M53" s="34"/>
      <c r="N53" s="193" t="str">
        <f t="shared" si="3"/>
        <v/>
      </c>
      <c r="O53" s="32"/>
    </row>
    <row r="54" spans="1:15" ht="15" customHeight="1" x14ac:dyDescent="0.25">
      <c r="A54" s="32"/>
      <c r="B54" s="32"/>
      <c r="C54" s="32"/>
      <c r="D54" s="33"/>
      <c r="E54" s="33"/>
      <c r="F54" s="33"/>
      <c r="G54" s="33"/>
      <c r="H54" s="33"/>
      <c r="I54" s="33"/>
      <c r="J54" s="33"/>
      <c r="K54" s="219"/>
      <c r="L54" s="193" t="str">
        <f t="shared" si="2"/>
        <v/>
      </c>
      <c r="M54" s="34"/>
      <c r="N54" s="193" t="str">
        <f t="shared" si="3"/>
        <v/>
      </c>
      <c r="O54" s="32"/>
    </row>
    <row r="55" spans="1:15" ht="15" customHeight="1" x14ac:dyDescent="0.25">
      <c r="A55" s="32"/>
      <c r="B55" s="32"/>
      <c r="C55" s="32"/>
      <c r="D55" s="33"/>
      <c r="E55" s="33"/>
      <c r="F55" s="33"/>
      <c r="G55" s="33"/>
      <c r="H55" s="33"/>
      <c r="I55" s="33"/>
      <c r="J55" s="33"/>
      <c r="K55" s="219"/>
      <c r="L55" s="193" t="str">
        <f t="shared" si="2"/>
        <v/>
      </c>
      <c r="M55" s="34"/>
      <c r="N55" s="193" t="str">
        <f t="shared" si="3"/>
        <v/>
      </c>
      <c r="O55" s="32"/>
    </row>
    <row r="56" spans="1:15" ht="15" customHeight="1" x14ac:dyDescent="0.25">
      <c r="A56" s="32"/>
      <c r="B56" s="32"/>
      <c r="C56" s="32"/>
      <c r="D56" s="33"/>
      <c r="E56" s="33"/>
      <c r="F56" s="33"/>
      <c r="G56" s="33"/>
      <c r="H56" s="33"/>
      <c r="I56" s="33"/>
      <c r="J56" s="33"/>
      <c r="K56" s="219"/>
      <c r="L56" s="193" t="str">
        <f t="shared" si="2"/>
        <v/>
      </c>
      <c r="M56" s="34"/>
      <c r="N56" s="193" t="str">
        <f t="shared" si="3"/>
        <v/>
      </c>
      <c r="O56" s="32"/>
    </row>
    <row r="57" spans="1:15" ht="15" customHeight="1" x14ac:dyDescent="0.25">
      <c r="A57" s="32"/>
      <c r="B57" s="32"/>
      <c r="C57" s="32"/>
      <c r="D57" s="33"/>
      <c r="E57" s="33"/>
      <c r="F57" s="33"/>
      <c r="G57" s="33"/>
      <c r="H57" s="33"/>
      <c r="I57" s="33"/>
      <c r="J57" s="33"/>
      <c r="K57" s="219"/>
      <c r="L57" s="193" t="str">
        <f t="shared" si="2"/>
        <v/>
      </c>
      <c r="M57" s="34"/>
      <c r="N57" s="193" t="str">
        <f t="shared" si="3"/>
        <v/>
      </c>
      <c r="O57" s="32"/>
    </row>
    <row r="58" spans="1:15" ht="15" customHeight="1" x14ac:dyDescent="0.25">
      <c r="A58" s="32"/>
      <c r="B58" s="32"/>
      <c r="C58" s="32"/>
      <c r="D58" s="33"/>
      <c r="E58" s="33"/>
      <c r="F58" s="33"/>
      <c r="G58" s="33"/>
      <c r="H58" s="33"/>
      <c r="I58" s="33"/>
      <c r="J58" s="33"/>
      <c r="K58" s="219"/>
      <c r="L58" s="193" t="str">
        <f t="shared" si="2"/>
        <v/>
      </c>
      <c r="M58" s="34"/>
      <c r="N58" s="193" t="str">
        <f t="shared" si="3"/>
        <v/>
      </c>
      <c r="O58" s="32"/>
    </row>
    <row r="59" spans="1:15" ht="15" customHeight="1" x14ac:dyDescent="0.25">
      <c r="A59" s="32"/>
      <c r="B59" s="32"/>
      <c r="C59" s="32"/>
      <c r="D59" s="33"/>
      <c r="E59" s="33"/>
      <c r="F59" s="33"/>
      <c r="G59" s="33"/>
      <c r="H59" s="33"/>
      <c r="I59" s="33"/>
      <c r="J59" s="33"/>
      <c r="K59" s="219"/>
      <c r="L59" s="193" t="str">
        <f t="shared" si="2"/>
        <v/>
      </c>
      <c r="M59" s="34"/>
      <c r="N59" s="193" t="str">
        <f t="shared" si="3"/>
        <v/>
      </c>
      <c r="O59" s="32"/>
    </row>
    <row r="60" spans="1:15" ht="15" customHeight="1" x14ac:dyDescent="0.25">
      <c r="A60" s="32"/>
      <c r="B60" s="32"/>
      <c r="C60" s="32"/>
      <c r="D60" s="33"/>
      <c r="E60" s="33"/>
      <c r="F60" s="33"/>
      <c r="G60" s="33"/>
      <c r="H60" s="33"/>
      <c r="I60" s="33"/>
      <c r="J60" s="33"/>
      <c r="K60" s="219"/>
      <c r="L60" s="193" t="str">
        <f t="shared" si="2"/>
        <v/>
      </c>
      <c r="M60" s="34"/>
      <c r="N60" s="193" t="str">
        <f t="shared" si="3"/>
        <v/>
      </c>
      <c r="O60" s="32"/>
    </row>
    <row r="61" spans="1:15" ht="15" customHeight="1" x14ac:dyDescent="0.25">
      <c r="A61" s="32"/>
      <c r="B61" s="32"/>
      <c r="C61" s="32"/>
      <c r="D61" s="33"/>
      <c r="E61" s="33"/>
      <c r="F61" s="33"/>
      <c r="G61" s="33"/>
      <c r="H61" s="33"/>
      <c r="I61" s="33"/>
      <c r="J61" s="33"/>
      <c r="K61" s="219"/>
      <c r="L61" s="193" t="str">
        <f t="shared" si="2"/>
        <v/>
      </c>
      <c r="M61" s="34"/>
      <c r="N61" s="193" t="str">
        <f t="shared" si="3"/>
        <v/>
      </c>
      <c r="O61" s="32"/>
    </row>
    <row r="62" spans="1:15" ht="15" customHeight="1" x14ac:dyDescent="0.25">
      <c r="A62" s="32"/>
      <c r="B62" s="32"/>
      <c r="C62" s="32"/>
      <c r="D62" s="33"/>
      <c r="E62" s="33"/>
      <c r="F62" s="33"/>
      <c r="G62" s="33"/>
      <c r="H62" s="33"/>
      <c r="I62" s="33"/>
      <c r="J62" s="33"/>
      <c r="K62" s="219"/>
      <c r="L62" s="193" t="str">
        <f t="shared" si="2"/>
        <v/>
      </c>
      <c r="M62" s="34"/>
      <c r="N62" s="193" t="str">
        <f t="shared" si="3"/>
        <v/>
      </c>
      <c r="O62" s="32"/>
    </row>
    <row r="63" spans="1:15" ht="15" customHeight="1" x14ac:dyDescent="0.25">
      <c r="A63" s="32"/>
      <c r="B63" s="32"/>
      <c r="C63" s="32"/>
      <c r="D63" s="33"/>
      <c r="E63" s="33"/>
      <c r="F63" s="33"/>
      <c r="G63" s="33"/>
      <c r="H63" s="33"/>
      <c r="I63" s="33"/>
      <c r="J63" s="33"/>
      <c r="K63" s="219"/>
      <c r="L63" s="193" t="str">
        <f t="shared" si="2"/>
        <v/>
      </c>
      <c r="M63" s="34"/>
      <c r="N63" s="193" t="str">
        <f t="shared" si="3"/>
        <v/>
      </c>
      <c r="O63" s="32"/>
    </row>
    <row r="64" spans="1:15" ht="15" customHeight="1" x14ac:dyDescent="0.25">
      <c r="A64" s="32"/>
      <c r="B64" s="32"/>
      <c r="C64" s="32"/>
      <c r="D64" s="33"/>
      <c r="E64" s="33"/>
      <c r="F64" s="33"/>
      <c r="G64" s="33"/>
      <c r="H64" s="33"/>
      <c r="I64" s="33"/>
      <c r="J64" s="33"/>
      <c r="K64" s="219"/>
      <c r="L64" s="193" t="str">
        <f t="shared" si="2"/>
        <v/>
      </c>
      <c r="M64" s="34"/>
      <c r="N64" s="193" t="str">
        <f t="shared" si="3"/>
        <v/>
      </c>
      <c r="O64" s="32"/>
    </row>
    <row r="65" spans="1:15" ht="15" customHeight="1" x14ac:dyDescent="0.25">
      <c r="A65" s="32"/>
      <c r="B65" s="32"/>
      <c r="C65" s="32"/>
      <c r="D65" s="33"/>
      <c r="E65" s="33"/>
      <c r="F65" s="33"/>
      <c r="G65" s="33"/>
      <c r="H65" s="33"/>
      <c r="I65" s="33"/>
      <c r="J65" s="33"/>
      <c r="K65" s="219"/>
      <c r="L65" s="193" t="str">
        <f t="shared" si="2"/>
        <v/>
      </c>
      <c r="M65" s="34"/>
      <c r="N65" s="193" t="str">
        <f t="shared" si="3"/>
        <v/>
      </c>
      <c r="O65" s="32"/>
    </row>
    <row r="66" spans="1:15" ht="15" customHeight="1" x14ac:dyDescent="0.25">
      <c r="A66" s="32"/>
      <c r="B66" s="32"/>
      <c r="C66" s="32"/>
      <c r="D66" s="33"/>
      <c r="E66" s="33"/>
      <c r="F66" s="33"/>
      <c r="G66" s="33"/>
      <c r="H66" s="33"/>
      <c r="I66" s="33"/>
      <c r="J66" s="33"/>
      <c r="K66" s="219"/>
      <c r="L66" s="193" t="str">
        <f t="shared" si="2"/>
        <v/>
      </c>
      <c r="M66" s="34"/>
      <c r="N66" s="193" t="str">
        <f t="shared" si="3"/>
        <v/>
      </c>
      <c r="O66" s="32"/>
    </row>
    <row r="67" spans="1:15" ht="15" customHeight="1" x14ac:dyDescent="0.25">
      <c r="A67" s="32"/>
      <c r="B67" s="32"/>
      <c r="C67" s="32"/>
      <c r="D67" s="33"/>
      <c r="E67" s="33"/>
      <c r="F67" s="33"/>
      <c r="G67" s="33"/>
      <c r="H67" s="33"/>
      <c r="I67" s="33"/>
      <c r="J67" s="33"/>
      <c r="K67" s="219"/>
      <c r="L67" s="193" t="str">
        <f t="shared" si="2"/>
        <v/>
      </c>
      <c r="M67" s="34"/>
      <c r="N67" s="193" t="str">
        <f t="shared" si="3"/>
        <v/>
      </c>
      <c r="O67" s="32"/>
    </row>
    <row r="68" spans="1:15" ht="15" customHeight="1" x14ac:dyDescent="0.25">
      <c r="A68" s="32"/>
      <c r="B68" s="32"/>
      <c r="C68" s="32"/>
      <c r="D68" s="33"/>
      <c r="E68" s="33"/>
      <c r="F68" s="33"/>
      <c r="G68" s="33"/>
      <c r="H68" s="33"/>
      <c r="I68" s="33"/>
      <c r="J68" s="33"/>
      <c r="K68" s="219"/>
      <c r="L68" s="193" t="str">
        <f t="shared" si="2"/>
        <v/>
      </c>
      <c r="M68" s="34"/>
      <c r="N68" s="193" t="str">
        <f t="shared" si="3"/>
        <v/>
      </c>
      <c r="O68" s="32"/>
    </row>
    <row r="69" spans="1:15" ht="15" customHeight="1" x14ac:dyDescent="0.25">
      <c r="A69" s="32"/>
      <c r="B69" s="32"/>
      <c r="C69" s="32"/>
      <c r="D69" s="33"/>
      <c r="E69" s="33"/>
      <c r="F69" s="33"/>
      <c r="G69" s="33"/>
      <c r="H69" s="33"/>
      <c r="I69" s="33"/>
      <c r="J69" s="33"/>
      <c r="K69" s="219"/>
      <c r="L69" s="193" t="str">
        <f t="shared" si="2"/>
        <v/>
      </c>
      <c r="M69" s="34"/>
      <c r="N69" s="193" t="str">
        <f t="shared" si="3"/>
        <v/>
      </c>
      <c r="O69" s="32"/>
    </row>
    <row r="70" spans="1:15" ht="15" customHeight="1" x14ac:dyDescent="0.25">
      <c r="A70" s="32"/>
      <c r="B70" s="32"/>
      <c r="C70" s="32"/>
      <c r="D70" s="33"/>
      <c r="E70" s="33"/>
      <c r="F70" s="33"/>
      <c r="G70" s="33"/>
      <c r="H70" s="33"/>
      <c r="I70" s="33"/>
      <c r="J70" s="33"/>
      <c r="K70" s="219"/>
      <c r="L70" s="193" t="str">
        <f t="shared" ref="L70:L105" si="4">IF(B70="","",SUM(D70:J70))</f>
        <v/>
      </c>
      <c r="M70" s="34"/>
      <c r="N70" s="193" t="str">
        <f t="shared" ref="N70:N101" si="5">IF(B70="","",L70*(1-IF(M70="",0,M70)))</f>
        <v/>
      </c>
      <c r="O70" s="32"/>
    </row>
    <row r="71" spans="1:15" ht="15" customHeight="1" x14ac:dyDescent="0.25">
      <c r="A71" s="32"/>
      <c r="B71" s="32"/>
      <c r="C71" s="32"/>
      <c r="D71" s="33"/>
      <c r="E71" s="33"/>
      <c r="F71" s="33"/>
      <c r="G71" s="33"/>
      <c r="H71" s="33"/>
      <c r="I71" s="33"/>
      <c r="J71" s="33"/>
      <c r="K71" s="219"/>
      <c r="L71" s="193" t="str">
        <f t="shared" si="4"/>
        <v/>
      </c>
      <c r="M71" s="34"/>
      <c r="N71" s="193" t="str">
        <f t="shared" si="5"/>
        <v/>
      </c>
      <c r="O71" s="32"/>
    </row>
    <row r="72" spans="1:15" ht="15" customHeight="1" x14ac:dyDescent="0.25">
      <c r="A72" s="32"/>
      <c r="B72" s="32"/>
      <c r="C72" s="32"/>
      <c r="D72" s="33"/>
      <c r="E72" s="33"/>
      <c r="F72" s="33"/>
      <c r="G72" s="33"/>
      <c r="H72" s="33"/>
      <c r="I72" s="33"/>
      <c r="J72" s="33"/>
      <c r="K72" s="219"/>
      <c r="L72" s="193" t="str">
        <f t="shared" si="4"/>
        <v/>
      </c>
      <c r="M72" s="34"/>
      <c r="N72" s="193" t="str">
        <f t="shared" si="5"/>
        <v/>
      </c>
      <c r="O72" s="32"/>
    </row>
    <row r="73" spans="1:15" ht="15" customHeight="1" x14ac:dyDescent="0.25">
      <c r="A73" s="32"/>
      <c r="B73" s="32"/>
      <c r="C73" s="32"/>
      <c r="D73" s="33"/>
      <c r="E73" s="33"/>
      <c r="F73" s="33"/>
      <c r="G73" s="33"/>
      <c r="H73" s="33"/>
      <c r="I73" s="33"/>
      <c r="J73" s="33"/>
      <c r="K73" s="219"/>
      <c r="L73" s="193" t="str">
        <f t="shared" si="4"/>
        <v/>
      </c>
      <c r="M73" s="34"/>
      <c r="N73" s="193" t="str">
        <f t="shared" si="5"/>
        <v/>
      </c>
      <c r="O73" s="32"/>
    </row>
    <row r="74" spans="1:15" ht="15" customHeight="1" x14ac:dyDescent="0.25">
      <c r="A74" s="32"/>
      <c r="B74" s="32"/>
      <c r="C74" s="32"/>
      <c r="D74" s="33"/>
      <c r="E74" s="33"/>
      <c r="F74" s="33"/>
      <c r="G74" s="33"/>
      <c r="H74" s="33"/>
      <c r="I74" s="33"/>
      <c r="J74" s="33"/>
      <c r="K74" s="219"/>
      <c r="L74" s="193" t="str">
        <f t="shared" si="4"/>
        <v/>
      </c>
      <c r="M74" s="34"/>
      <c r="N74" s="193" t="str">
        <f t="shared" si="5"/>
        <v/>
      </c>
      <c r="O74" s="32"/>
    </row>
    <row r="75" spans="1:15" ht="15" customHeight="1" x14ac:dyDescent="0.25">
      <c r="A75" s="32"/>
      <c r="B75" s="32"/>
      <c r="C75" s="32"/>
      <c r="D75" s="33"/>
      <c r="E75" s="33"/>
      <c r="F75" s="33"/>
      <c r="G75" s="33"/>
      <c r="H75" s="33"/>
      <c r="I75" s="33"/>
      <c r="J75" s="33"/>
      <c r="K75" s="219"/>
      <c r="L75" s="193" t="str">
        <f t="shared" si="4"/>
        <v/>
      </c>
      <c r="M75" s="34"/>
      <c r="N75" s="193" t="str">
        <f t="shared" si="5"/>
        <v/>
      </c>
      <c r="O75" s="32"/>
    </row>
    <row r="76" spans="1:15" ht="15" customHeight="1" x14ac:dyDescent="0.25">
      <c r="A76" s="32"/>
      <c r="B76" s="32"/>
      <c r="C76" s="32"/>
      <c r="D76" s="33"/>
      <c r="E76" s="33"/>
      <c r="F76" s="33"/>
      <c r="G76" s="33"/>
      <c r="H76" s="33"/>
      <c r="I76" s="33"/>
      <c r="J76" s="33"/>
      <c r="K76" s="219"/>
      <c r="L76" s="193" t="str">
        <f t="shared" si="4"/>
        <v/>
      </c>
      <c r="M76" s="34"/>
      <c r="N76" s="193" t="str">
        <f t="shared" si="5"/>
        <v/>
      </c>
      <c r="O76" s="32"/>
    </row>
    <row r="77" spans="1:15" ht="15" customHeight="1" x14ac:dyDescent="0.25">
      <c r="A77" s="32"/>
      <c r="B77" s="32"/>
      <c r="C77" s="32"/>
      <c r="D77" s="33"/>
      <c r="E77" s="33"/>
      <c r="F77" s="33"/>
      <c r="G77" s="33"/>
      <c r="H77" s="33"/>
      <c r="I77" s="33"/>
      <c r="J77" s="33"/>
      <c r="K77" s="219"/>
      <c r="L77" s="193" t="str">
        <f t="shared" si="4"/>
        <v/>
      </c>
      <c r="M77" s="34"/>
      <c r="N77" s="193" t="str">
        <f t="shared" si="5"/>
        <v/>
      </c>
      <c r="O77" s="32"/>
    </row>
    <row r="78" spans="1:15" ht="15" customHeight="1" x14ac:dyDescent="0.25">
      <c r="A78" s="32"/>
      <c r="B78" s="32"/>
      <c r="C78" s="32"/>
      <c r="D78" s="33"/>
      <c r="E78" s="33"/>
      <c r="F78" s="33"/>
      <c r="G78" s="33"/>
      <c r="H78" s="33"/>
      <c r="I78" s="33"/>
      <c r="J78" s="33"/>
      <c r="K78" s="219"/>
      <c r="L78" s="193" t="str">
        <f t="shared" si="4"/>
        <v/>
      </c>
      <c r="M78" s="34"/>
      <c r="N78" s="193" t="str">
        <f t="shared" si="5"/>
        <v/>
      </c>
      <c r="O78" s="32"/>
    </row>
    <row r="79" spans="1:15" ht="15" customHeight="1" x14ac:dyDescent="0.25">
      <c r="A79" s="32"/>
      <c r="B79" s="32"/>
      <c r="C79" s="32"/>
      <c r="D79" s="33"/>
      <c r="E79" s="33"/>
      <c r="F79" s="33"/>
      <c r="G79" s="33"/>
      <c r="H79" s="33"/>
      <c r="I79" s="33"/>
      <c r="J79" s="33"/>
      <c r="K79" s="219"/>
      <c r="L79" s="193" t="str">
        <f t="shared" si="4"/>
        <v/>
      </c>
      <c r="M79" s="34"/>
      <c r="N79" s="193" t="str">
        <f t="shared" si="5"/>
        <v/>
      </c>
      <c r="O79" s="32"/>
    </row>
    <row r="80" spans="1:15" ht="15" customHeight="1" x14ac:dyDescent="0.25">
      <c r="A80" s="32"/>
      <c r="B80" s="32"/>
      <c r="C80" s="32"/>
      <c r="D80" s="33"/>
      <c r="E80" s="33"/>
      <c r="F80" s="33"/>
      <c r="G80" s="33"/>
      <c r="H80" s="33"/>
      <c r="I80" s="33"/>
      <c r="J80" s="33"/>
      <c r="K80" s="219"/>
      <c r="L80" s="193" t="str">
        <f t="shared" si="4"/>
        <v/>
      </c>
      <c r="M80" s="34"/>
      <c r="N80" s="193" t="str">
        <f t="shared" si="5"/>
        <v/>
      </c>
      <c r="O80" s="32"/>
    </row>
    <row r="81" spans="1:15" ht="15" customHeight="1" x14ac:dyDescent="0.25">
      <c r="A81" s="32"/>
      <c r="B81" s="32"/>
      <c r="C81" s="32"/>
      <c r="D81" s="33"/>
      <c r="E81" s="33"/>
      <c r="F81" s="33"/>
      <c r="G81" s="33"/>
      <c r="H81" s="33"/>
      <c r="I81" s="33"/>
      <c r="J81" s="33"/>
      <c r="K81" s="219"/>
      <c r="L81" s="193" t="str">
        <f t="shared" si="4"/>
        <v/>
      </c>
      <c r="M81" s="34"/>
      <c r="N81" s="193" t="str">
        <f t="shared" si="5"/>
        <v/>
      </c>
      <c r="O81" s="32"/>
    </row>
    <row r="82" spans="1:15" ht="15" customHeight="1" x14ac:dyDescent="0.25">
      <c r="A82" s="32"/>
      <c r="B82" s="32"/>
      <c r="C82" s="32"/>
      <c r="D82" s="33"/>
      <c r="E82" s="33"/>
      <c r="F82" s="33"/>
      <c r="G82" s="33"/>
      <c r="H82" s="33"/>
      <c r="I82" s="33"/>
      <c r="J82" s="33"/>
      <c r="K82" s="219"/>
      <c r="L82" s="193" t="str">
        <f t="shared" si="4"/>
        <v/>
      </c>
      <c r="M82" s="34"/>
      <c r="N82" s="193" t="str">
        <f t="shared" si="5"/>
        <v/>
      </c>
      <c r="O82" s="32"/>
    </row>
    <row r="83" spans="1:15" ht="15" customHeight="1" x14ac:dyDescent="0.25">
      <c r="A83" s="32"/>
      <c r="B83" s="32"/>
      <c r="C83" s="32"/>
      <c r="D83" s="33"/>
      <c r="E83" s="33"/>
      <c r="F83" s="33"/>
      <c r="G83" s="33"/>
      <c r="H83" s="33"/>
      <c r="I83" s="33"/>
      <c r="J83" s="33"/>
      <c r="K83" s="219"/>
      <c r="L83" s="193" t="str">
        <f t="shared" si="4"/>
        <v/>
      </c>
      <c r="M83" s="34"/>
      <c r="N83" s="193" t="str">
        <f t="shared" si="5"/>
        <v/>
      </c>
      <c r="O83" s="32"/>
    </row>
    <row r="84" spans="1:15" ht="15" customHeight="1" x14ac:dyDescent="0.25">
      <c r="A84" s="32"/>
      <c r="B84" s="32"/>
      <c r="C84" s="32"/>
      <c r="D84" s="33"/>
      <c r="E84" s="33"/>
      <c r="F84" s="33"/>
      <c r="G84" s="33"/>
      <c r="H84" s="33"/>
      <c r="I84" s="33"/>
      <c r="J84" s="33"/>
      <c r="K84" s="219"/>
      <c r="L84" s="193" t="str">
        <f t="shared" si="4"/>
        <v/>
      </c>
      <c r="M84" s="34"/>
      <c r="N84" s="193" t="str">
        <f t="shared" si="5"/>
        <v/>
      </c>
      <c r="O84" s="32"/>
    </row>
    <row r="85" spans="1:15" ht="15" customHeight="1" x14ac:dyDescent="0.25">
      <c r="A85" s="32"/>
      <c r="B85" s="32"/>
      <c r="C85" s="32"/>
      <c r="D85" s="33"/>
      <c r="E85" s="33"/>
      <c r="F85" s="33"/>
      <c r="G85" s="33"/>
      <c r="H85" s="33"/>
      <c r="I85" s="33"/>
      <c r="J85" s="33"/>
      <c r="K85" s="219"/>
      <c r="L85" s="193" t="str">
        <f t="shared" si="4"/>
        <v/>
      </c>
      <c r="M85" s="34"/>
      <c r="N85" s="193" t="str">
        <f t="shared" si="5"/>
        <v/>
      </c>
      <c r="O85" s="32"/>
    </row>
    <row r="86" spans="1:15" ht="15" customHeight="1" x14ac:dyDescent="0.25">
      <c r="A86" s="32"/>
      <c r="B86" s="32"/>
      <c r="C86" s="32"/>
      <c r="D86" s="33"/>
      <c r="E86" s="33"/>
      <c r="F86" s="33"/>
      <c r="G86" s="33"/>
      <c r="H86" s="33"/>
      <c r="I86" s="33"/>
      <c r="J86" s="33"/>
      <c r="K86" s="219"/>
      <c r="L86" s="193" t="str">
        <f t="shared" si="4"/>
        <v/>
      </c>
      <c r="M86" s="34"/>
      <c r="N86" s="193" t="str">
        <f t="shared" si="5"/>
        <v/>
      </c>
      <c r="O86" s="32"/>
    </row>
    <row r="87" spans="1:15" ht="15" customHeight="1" x14ac:dyDescent="0.25">
      <c r="A87" s="32"/>
      <c r="B87" s="32"/>
      <c r="C87" s="32"/>
      <c r="D87" s="33"/>
      <c r="E87" s="33"/>
      <c r="F87" s="33"/>
      <c r="G87" s="33"/>
      <c r="H87" s="33"/>
      <c r="I87" s="33"/>
      <c r="J87" s="33"/>
      <c r="K87" s="219"/>
      <c r="L87" s="193" t="str">
        <f t="shared" si="4"/>
        <v/>
      </c>
      <c r="M87" s="34"/>
      <c r="N87" s="193" t="str">
        <f t="shared" si="5"/>
        <v/>
      </c>
      <c r="O87" s="32"/>
    </row>
    <row r="88" spans="1:15" ht="15" customHeight="1" x14ac:dyDescent="0.25">
      <c r="A88" s="32"/>
      <c r="B88" s="32"/>
      <c r="C88" s="32"/>
      <c r="D88" s="33"/>
      <c r="E88" s="33"/>
      <c r="F88" s="33"/>
      <c r="G88" s="33"/>
      <c r="H88" s="33"/>
      <c r="I88" s="33"/>
      <c r="J88" s="33"/>
      <c r="K88" s="219"/>
      <c r="L88" s="193" t="str">
        <f t="shared" si="4"/>
        <v/>
      </c>
      <c r="M88" s="34"/>
      <c r="N88" s="193" t="str">
        <f t="shared" si="5"/>
        <v/>
      </c>
      <c r="O88" s="32"/>
    </row>
    <row r="89" spans="1:15" ht="15" customHeight="1" x14ac:dyDescent="0.25">
      <c r="A89" s="32"/>
      <c r="B89" s="32"/>
      <c r="C89" s="32"/>
      <c r="D89" s="33"/>
      <c r="E89" s="33"/>
      <c r="F89" s="33"/>
      <c r="G89" s="33"/>
      <c r="H89" s="33"/>
      <c r="I89" s="33"/>
      <c r="J89" s="33"/>
      <c r="K89" s="219"/>
      <c r="L89" s="193" t="str">
        <f t="shared" si="4"/>
        <v/>
      </c>
      <c r="M89" s="34"/>
      <c r="N89" s="193" t="str">
        <f t="shared" si="5"/>
        <v/>
      </c>
      <c r="O89" s="32"/>
    </row>
    <row r="90" spans="1:15" ht="15" customHeight="1" x14ac:dyDescent="0.25">
      <c r="A90" s="32"/>
      <c r="B90" s="32"/>
      <c r="C90" s="32"/>
      <c r="D90" s="33"/>
      <c r="E90" s="33"/>
      <c r="F90" s="33"/>
      <c r="G90" s="33"/>
      <c r="H90" s="33"/>
      <c r="I90" s="33"/>
      <c r="J90" s="33"/>
      <c r="K90" s="219"/>
      <c r="L90" s="193" t="str">
        <f t="shared" si="4"/>
        <v/>
      </c>
      <c r="M90" s="34"/>
      <c r="N90" s="193" t="str">
        <f t="shared" si="5"/>
        <v/>
      </c>
      <c r="O90" s="32"/>
    </row>
    <row r="91" spans="1:15" ht="15" customHeight="1" x14ac:dyDescent="0.25">
      <c r="A91" s="32"/>
      <c r="B91" s="32"/>
      <c r="C91" s="32"/>
      <c r="D91" s="33"/>
      <c r="E91" s="33"/>
      <c r="F91" s="33"/>
      <c r="G91" s="33"/>
      <c r="H91" s="33"/>
      <c r="I91" s="33"/>
      <c r="J91" s="33"/>
      <c r="K91" s="219"/>
      <c r="L91" s="193" t="str">
        <f t="shared" si="4"/>
        <v/>
      </c>
      <c r="M91" s="34"/>
      <c r="N91" s="193" t="str">
        <f t="shared" si="5"/>
        <v/>
      </c>
      <c r="O91" s="32"/>
    </row>
    <row r="92" spans="1:15" ht="15" customHeight="1" x14ac:dyDescent="0.25">
      <c r="A92" s="32"/>
      <c r="B92" s="32"/>
      <c r="C92" s="32"/>
      <c r="D92" s="33"/>
      <c r="E92" s="33"/>
      <c r="F92" s="33"/>
      <c r="G92" s="33"/>
      <c r="H92" s="33"/>
      <c r="I92" s="33"/>
      <c r="J92" s="33"/>
      <c r="K92" s="219"/>
      <c r="L92" s="193" t="str">
        <f t="shared" si="4"/>
        <v/>
      </c>
      <c r="M92" s="34"/>
      <c r="N92" s="193" t="str">
        <f t="shared" si="5"/>
        <v/>
      </c>
      <c r="O92" s="32"/>
    </row>
    <row r="93" spans="1:15" ht="15" customHeight="1" x14ac:dyDescent="0.25">
      <c r="A93" s="32"/>
      <c r="B93" s="32"/>
      <c r="C93" s="32"/>
      <c r="D93" s="33"/>
      <c r="E93" s="33"/>
      <c r="F93" s="33"/>
      <c r="G93" s="33"/>
      <c r="H93" s="33"/>
      <c r="I93" s="33"/>
      <c r="J93" s="33"/>
      <c r="K93" s="219"/>
      <c r="L93" s="193" t="str">
        <f t="shared" si="4"/>
        <v/>
      </c>
      <c r="M93" s="34"/>
      <c r="N93" s="193" t="str">
        <f t="shared" si="5"/>
        <v/>
      </c>
      <c r="O93" s="32"/>
    </row>
    <row r="94" spans="1:15" ht="15" customHeight="1" x14ac:dyDescent="0.25">
      <c r="A94" s="32"/>
      <c r="B94" s="32"/>
      <c r="C94" s="32"/>
      <c r="D94" s="33"/>
      <c r="E94" s="33"/>
      <c r="F94" s="33"/>
      <c r="G94" s="33"/>
      <c r="H94" s="33"/>
      <c r="I94" s="33"/>
      <c r="J94" s="33"/>
      <c r="K94" s="219"/>
      <c r="L94" s="193" t="str">
        <f t="shared" si="4"/>
        <v/>
      </c>
      <c r="M94" s="34"/>
      <c r="N94" s="193" t="str">
        <f t="shared" si="5"/>
        <v/>
      </c>
      <c r="O94" s="32"/>
    </row>
    <row r="95" spans="1:15" ht="15" customHeight="1" x14ac:dyDescent="0.25">
      <c r="A95" s="32"/>
      <c r="B95" s="32"/>
      <c r="C95" s="32"/>
      <c r="D95" s="33"/>
      <c r="E95" s="33"/>
      <c r="F95" s="33"/>
      <c r="G95" s="33"/>
      <c r="H95" s="33"/>
      <c r="I95" s="33"/>
      <c r="J95" s="33"/>
      <c r="K95" s="219"/>
      <c r="L95" s="193" t="str">
        <f t="shared" si="4"/>
        <v/>
      </c>
      <c r="M95" s="34"/>
      <c r="N95" s="193" t="str">
        <f t="shared" si="5"/>
        <v/>
      </c>
      <c r="O95" s="32"/>
    </row>
    <row r="96" spans="1:15" ht="15" customHeight="1" x14ac:dyDescent="0.25">
      <c r="A96" s="32"/>
      <c r="B96" s="32"/>
      <c r="C96" s="32"/>
      <c r="D96" s="33"/>
      <c r="E96" s="33"/>
      <c r="F96" s="33"/>
      <c r="G96" s="33"/>
      <c r="H96" s="33"/>
      <c r="I96" s="33"/>
      <c r="J96" s="33"/>
      <c r="K96" s="219"/>
      <c r="L96" s="193" t="str">
        <f t="shared" si="4"/>
        <v/>
      </c>
      <c r="M96" s="34"/>
      <c r="N96" s="193" t="str">
        <f t="shared" si="5"/>
        <v/>
      </c>
      <c r="O96" s="32"/>
    </row>
    <row r="97" spans="1:15" ht="15" customHeight="1" x14ac:dyDescent="0.25">
      <c r="A97" s="32"/>
      <c r="B97" s="32"/>
      <c r="C97" s="32"/>
      <c r="D97" s="33"/>
      <c r="E97" s="33"/>
      <c r="F97" s="33"/>
      <c r="G97" s="33"/>
      <c r="H97" s="33"/>
      <c r="I97" s="33"/>
      <c r="J97" s="33"/>
      <c r="K97" s="219"/>
      <c r="L97" s="193" t="str">
        <f t="shared" si="4"/>
        <v/>
      </c>
      <c r="M97" s="34"/>
      <c r="N97" s="193" t="str">
        <f t="shared" si="5"/>
        <v/>
      </c>
      <c r="O97" s="32"/>
    </row>
    <row r="98" spans="1:15" ht="15" customHeight="1" x14ac:dyDescent="0.25">
      <c r="A98" s="32"/>
      <c r="B98" s="32"/>
      <c r="C98" s="32"/>
      <c r="D98" s="33"/>
      <c r="E98" s="33"/>
      <c r="F98" s="33"/>
      <c r="G98" s="33"/>
      <c r="H98" s="33"/>
      <c r="I98" s="33"/>
      <c r="J98" s="33"/>
      <c r="K98" s="219"/>
      <c r="L98" s="193" t="str">
        <f t="shared" si="4"/>
        <v/>
      </c>
      <c r="M98" s="34"/>
      <c r="N98" s="193" t="str">
        <f t="shared" si="5"/>
        <v/>
      </c>
      <c r="O98" s="32"/>
    </row>
    <row r="99" spans="1:15" ht="15" customHeight="1" x14ac:dyDescent="0.25">
      <c r="A99" s="32"/>
      <c r="B99" s="32"/>
      <c r="C99" s="32"/>
      <c r="D99" s="33"/>
      <c r="E99" s="33"/>
      <c r="F99" s="33"/>
      <c r="G99" s="33"/>
      <c r="H99" s="33"/>
      <c r="I99" s="33"/>
      <c r="J99" s="33"/>
      <c r="K99" s="219"/>
      <c r="L99" s="193" t="str">
        <f t="shared" si="4"/>
        <v/>
      </c>
      <c r="M99" s="34"/>
      <c r="N99" s="193" t="str">
        <f t="shared" si="5"/>
        <v/>
      </c>
      <c r="O99" s="32"/>
    </row>
    <row r="100" spans="1:15" ht="15" customHeight="1" x14ac:dyDescent="0.25">
      <c r="A100" s="32"/>
      <c r="B100" s="32"/>
      <c r="C100" s="32"/>
      <c r="D100" s="33"/>
      <c r="E100" s="33"/>
      <c r="F100" s="33"/>
      <c r="G100" s="33"/>
      <c r="H100" s="33"/>
      <c r="I100" s="33"/>
      <c r="J100" s="33"/>
      <c r="K100" s="219"/>
      <c r="L100" s="193" t="str">
        <f t="shared" si="4"/>
        <v/>
      </c>
      <c r="M100" s="34"/>
      <c r="N100" s="193" t="str">
        <f t="shared" si="5"/>
        <v/>
      </c>
      <c r="O100" s="32"/>
    </row>
    <row r="101" spans="1:15" ht="15" customHeight="1" x14ac:dyDescent="0.25">
      <c r="A101" s="32"/>
      <c r="B101" s="32"/>
      <c r="C101" s="32"/>
      <c r="D101" s="33"/>
      <c r="E101" s="33"/>
      <c r="F101" s="33"/>
      <c r="G101" s="33"/>
      <c r="H101" s="33"/>
      <c r="I101" s="33"/>
      <c r="J101" s="33"/>
      <c r="K101" s="219"/>
      <c r="L101" s="193" t="str">
        <f t="shared" si="4"/>
        <v/>
      </c>
      <c r="M101" s="34"/>
      <c r="N101" s="193" t="str">
        <f t="shared" si="5"/>
        <v/>
      </c>
      <c r="O101" s="32"/>
    </row>
    <row r="102" spans="1:15" ht="15" customHeight="1" x14ac:dyDescent="0.25">
      <c r="A102" s="32"/>
      <c r="B102" s="32"/>
      <c r="C102" s="32"/>
      <c r="D102" s="33"/>
      <c r="E102" s="33"/>
      <c r="F102" s="33"/>
      <c r="G102" s="33"/>
      <c r="H102" s="33"/>
      <c r="I102" s="33"/>
      <c r="J102" s="33"/>
      <c r="K102" s="219"/>
      <c r="L102" s="193" t="str">
        <f t="shared" si="4"/>
        <v/>
      </c>
      <c r="M102" s="34"/>
      <c r="N102" s="193" t="str">
        <f t="shared" ref="N102:N105" si="6">IF(B102="","",L102*(1-IF(M102="",0,M102)))</f>
        <v/>
      </c>
      <c r="O102" s="32"/>
    </row>
    <row r="103" spans="1:15" ht="15" customHeight="1" x14ac:dyDescent="0.25">
      <c r="A103" s="32"/>
      <c r="B103" s="32"/>
      <c r="C103" s="32"/>
      <c r="D103" s="33"/>
      <c r="E103" s="33"/>
      <c r="F103" s="33"/>
      <c r="G103" s="33"/>
      <c r="H103" s="33"/>
      <c r="I103" s="33"/>
      <c r="J103" s="33"/>
      <c r="K103" s="219"/>
      <c r="L103" s="193" t="str">
        <f t="shared" si="4"/>
        <v/>
      </c>
      <c r="M103" s="34"/>
      <c r="N103" s="193" t="str">
        <f t="shared" si="6"/>
        <v/>
      </c>
      <c r="O103" s="32"/>
    </row>
    <row r="104" spans="1:15" ht="15" customHeight="1" x14ac:dyDescent="0.25">
      <c r="A104" s="32"/>
      <c r="B104" s="32"/>
      <c r="C104" s="32"/>
      <c r="D104" s="33"/>
      <c r="E104" s="33"/>
      <c r="F104" s="33"/>
      <c r="G104" s="33"/>
      <c r="H104" s="33"/>
      <c r="I104" s="33"/>
      <c r="J104" s="33"/>
      <c r="K104" s="219"/>
      <c r="L104" s="193" t="str">
        <f t="shared" si="4"/>
        <v/>
      </c>
      <c r="M104" s="34"/>
      <c r="N104" s="193" t="str">
        <f t="shared" si="6"/>
        <v/>
      </c>
      <c r="O104" s="32"/>
    </row>
    <row r="105" spans="1:15" ht="15" customHeight="1" x14ac:dyDescent="0.25">
      <c r="A105" s="32"/>
      <c r="B105" s="32"/>
      <c r="C105" s="32"/>
      <c r="D105" s="33"/>
      <c r="E105" s="33"/>
      <c r="F105" s="33"/>
      <c r="G105" s="33"/>
      <c r="H105" s="33"/>
      <c r="I105" s="33"/>
      <c r="J105" s="33"/>
      <c r="K105" s="219"/>
      <c r="L105" s="193" t="str">
        <f t="shared" si="4"/>
        <v/>
      </c>
      <c r="M105" s="34"/>
      <c r="N105" s="193" t="str">
        <f t="shared" si="6"/>
        <v/>
      </c>
      <c r="O105" s="32"/>
    </row>
    <row r="106" spans="1:15" ht="15" customHeight="1" x14ac:dyDescent="0.25">
      <c r="A106" s="35" t="s">
        <v>98</v>
      </c>
      <c r="B106" s="35" t="str">
        <f>COUNTIF(B6:B105,"?*")&amp;" alunos"</f>
        <v>9 alunos</v>
      </c>
      <c r="C106" s="36"/>
      <c r="D106" s="36"/>
      <c r="E106" s="36"/>
      <c r="F106" s="36"/>
      <c r="G106" s="36"/>
      <c r="H106" s="36"/>
      <c r="J106" s="36"/>
      <c r="K106" s="36"/>
      <c r="L106" s="37">
        <f>SUM(L6:L105)</f>
        <v>1730000</v>
      </c>
      <c r="M106" s="36"/>
      <c r="N106" s="37">
        <f>SUM(N6:N105)</f>
        <v>1712000</v>
      </c>
      <c r="O106" s="36"/>
    </row>
    <row r="108" spans="1:15" ht="19.5" customHeight="1" x14ac:dyDescent="0.25">
      <c r="A108" s="250" t="s">
        <v>99</v>
      </c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</row>
    <row r="109" spans="1:15" ht="25.5" customHeight="1" x14ac:dyDescent="0.25">
      <c r="A109" s="38" t="s">
        <v>64</v>
      </c>
      <c r="B109" s="38" t="s">
        <v>65</v>
      </c>
      <c r="C109" s="38" t="s">
        <v>66</v>
      </c>
      <c r="D109" s="38" t="s">
        <v>67</v>
      </c>
      <c r="E109" s="38" t="s">
        <v>68</v>
      </c>
      <c r="F109" s="38" t="s">
        <v>69</v>
      </c>
      <c r="G109" s="38" t="s">
        <v>70</v>
      </c>
      <c r="H109" s="38" t="s">
        <v>71</v>
      </c>
      <c r="I109" s="38" t="s">
        <v>72</v>
      </c>
      <c r="J109" s="38" t="s">
        <v>73</v>
      </c>
      <c r="K109" s="38" t="s">
        <v>74</v>
      </c>
      <c r="L109" s="38" t="s">
        <v>11</v>
      </c>
      <c r="M109" s="38" t="s">
        <v>75</v>
      </c>
      <c r="N109" s="38" t="s">
        <v>12</v>
      </c>
      <c r="O109" s="38" t="s">
        <v>76</v>
      </c>
    </row>
    <row r="110" spans="1:15" ht="15" customHeight="1" x14ac:dyDescent="0.25">
      <c r="A110" s="32" t="s">
        <v>100</v>
      </c>
      <c r="B110" s="32" t="s">
        <v>101</v>
      </c>
      <c r="C110" s="39" t="s">
        <v>14</v>
      </c>
      <c r="D110" s="40">
        <v>150000</v>
      </c>
      <c r="E110" s="40"/>
      <c r="F110" s="40"/>
      <c r="G110" s="40">
        <v>30000</v>
      </c>
      <c r="H110" s="40"/>
      <c r="I110" s="40"/>
      <c r="J110" s="40"/>
      <c r="K110" s="194">
        <v>46252</v>
      </c>
      <c r="L110" s="193">
        <f t="shared" ref="L110:L124" si="7">IF(B110="","",SUM(D110:J110))</f>
        <v>180000</v>
      </c>
      <c r="M110" s="41"/>
      <c r="N110" s="193">
        <f t="shared" ref="N110:N124" si="8">IF(B110="","",L110*(1-IF(M110="",0,M110)))</f>
        <v>180000</v>
      </c>
      <c r="O110" s="32"/>
    </row>
    <row r="111" spans="1:15" ht="15" customHeight="1" x14ac:dyDescent="0.25">
      <c r="A111" s="32" t="s">
        <v>102</v>
      </c>
      <c r="B111" s="32"/>
      <c r="C111" s="39" t="s">
        <v>14</v>
      </c>
      <c r="D111" s="40"/>
      <c r="E111" s="40"/>
      <c r="F111" s="40"/>
      <c r="G111" s="40"/>
      <c r="H111" s="40"/>
      <c r="I111" s="40"/>
      <c r="J111" s="40"/>
      <c r="K111" s="42"/>
      <c r="L111" s="193" t="str">
        <f t="shared" si="7"/>
        <v/>
      </c>
      <c r="M111" s="41"/>
      <c r="N111" s="193" t="str">
        <f t="shared" si="8"/>
        <v/>
      </c>
      <c r="O111" s="32"/>
    </row>
    <row r="112" spans="1:15" ht="15" customHeight="1" x14ac:dyDescent="0.25">
      <c r="A112" s="32"/>
      <c r="B112" s="32"/>
      <c r="C112" s="39" t="s">
        <v>14</v>
      </c>
      <c r="D112" s="40"/>
      <c r="E112" s="40"/>
      <c r="F112" s="40"/>
      <c r="G112" s="40"/>
      <c r="H112" s="40"/>
      <c r="I112" s="40"/>
      <c r="J112" s="40"/>
      <c r="K112" s="42"/>
      <c r="L112" s="193" t="str">
        <f t="shared" si="7"/>
        <v/>
      </c>
      <c r="M112" s="41"/>
      <c r="N112" s="193" t="str">
        <f t="shared" si="8"/>
        <v/>
      </c>
      <c r="O112" s="32"/>
    </row>
    <row r="113" spans="1:15" ht="15" customHeight="1" x14ac:dyDescent="0.25">
      <c r="A113" s="32"/>
      <c r="B113" s="32"/>
      <c r="C113" s="39" t="s">
        <v>14</v>
      </c>
      <c r="D113" s="40"/>
      <c r="E113" s="40"/>
      <c r="F113" s="40"/>
      <c r="G113" s="40"/>
      <c r="H113" s="40"/>
      <c r="I113" s="40"/>
      <c r="J113" s="40"/>
      <c r="K113" s="42"/>
      <c r="L113" s="193" t="str">
        <f t="shared" si="7"/>
        <v/>
      </c>
      <c r="M113" s="41"/>
      <c r="N113" s="193" t="str">
        <f t="shared" si="8"/>
        <v/>
      </c>
      <c r="O113" s="32"/>
    </row>
    <row r="114" spans="1:15" ht="15" customHeight="1" x14ac:dyDescent="0.25">
      <c r="A114" s="32"/>
      <c r="B114" s="32"/>
      <c r="C114" s="39" t="s">
        <v>14</v>
      </c>
      <c r="D114" s="40"/>
      <c r="E114" s="40"/>
      <c r="F114" s="40"/>
      <c r="G114" s="40"/>
      <c r="H114" s="40"/>
      <c r="I114" s="40"/>
      <c r="J114" s="40"/>
      <c r="K114" s="42"/>
      <c r="L114" s="193" t="str">
        <f t="shared" si="7"/>
        <v/>
      </c>
      <c r="M114" s="41"/>
      <c r="N114" s="193" t="str">
        <f t="shared" si="8"/>
        <v/>
      </c>
      <c r="O114" s="32"/>
    </row>
    <row r="115" spans="1:15" ht="15" customHeight="1" x14ac:dyDescent="0.25">
      <c r="A115" s="32"/>
      <c r="B115" s="32"/>
      <c r="C115" s="39" t="s">
        <v>14</v>
      </c>
      <c r="D115" s="40"/>
      <c r="E115" s="40"/>
      <c r="F115" s="40"/>
      <c r="G115" s="40"/>
      <c r="H115" s="40"/>
      <c r="I115" s="40"/>
      <c r="J115" s="40"/>
      <c r="K115" s="42"/>
      <c r="L115" s="193" t="str">
        <f t="shared" si="7"/>
        <v/>
      </c>
      <c r="M115" s="41"/>
      <c r="N115" s="193" t="str">
        <f t="shared" si="8"/>
        <v/>
      </c>
      <c r="O115" s="32"/>
    </row>
    <row r="116" spans="1:15" ht="15" customHeight="1" x14ac:dyDescent="0.25">
      <c r="A116" s="32"/>
      <c r="B116" s="32"/>
      <c r="C116" s="39" t="s">
        <v>14</v>
      </c>
      <c r="D116" s="40"/>
      <c r="E116" s="40"/>
      <c r="F116" s="40"/>
      <c r="G116" s="40"/>
      <c r="H116" s="40"/>
      <c r="I116" s="40"/>
      <c r="J116" s="40"/>
      <c r="K116" s="42"/>
      <c r="L116" s="193" t="str">
        <f t="shared" si="7"/>
        <v/>
      </c>
      <c r="M116" s="41"/>
      <c r="N116" s="193" t="str">
        <f t="shared" si="8"/>
        <v/>
      </c>
      <c r="O116" s="32"/>
    </row>
    <row r="117" spans="1:15" ht="15" customHeight="1" x14ac:dyDescent="0.25">
      <c r="A117" s="32"/>
      <c r="B117" s="32"/>
      <c r="C117" s="39" t="s">
        <v>14</v>
      </c>
      <c r="D117" s="40"/>
      <c r="E117" s="40"/>
      <c r="F117" s="40"/>
      <c r="G117" s="40"/>
      <c r="H117" s="40"/>
      <c r="I117" s="40"/>
      <c r="J117" s="40"/>
      <c r="K117" s="42"/>
      <c r="L117" s="193" t="str">
        <f t="shared" si="7"/>
        <v/>
      </c>
      <c r="M117" s="41"/>
      <c r="N117" s="193" t="str">
        <f t="shared" si="8"/>
        <v/>
      </c>
      <c r="O117" s="32"/>
    </row>
    <row r="118" spans="1:15" ht="15" customHeight="1" x14ac:dyDescent="0.25">
      <c r="A118" s="32"/>
      <c r="B118" s="32"/>
      <c r="C118" s="39" t="s">
        <v>14</v>
      </c>
      <c r="D118" s="40"/>
      <c r="E118" s="40"/>
      <c r="F118" s="40"/>
      <c r="G118" s="40"/>
      <c r="H118" s="40"/>
      <c r="I118" s="40"/>
      <c r="J118" s="40"/>
      <c r="K118" s="42"/>
      <c r="L118" s="193" t="str">
        <f t="shared" si="7"/>
        <v/>
      </c>
      <c r="M118" s="41"/>
      <c r="N118" s="193" t="str">
        <f t="shared" si="8"/>
        <v/>
      </c>
      <c r="O118" s="32"/>
    </row>
    <row r="119" spans="1:15" ht="15" customHeight="1" x14ac:dyDescent="0.25">
      <c r="A119" s="32"/>
      <c r="B119" s="32"/>
      <c r="C119" s="39" t="s">
        <v>14</v>
      </c>
      <c r="D119" s="40"/>
      <c r="E119" s="40"/>
      <c r="F119" s="40"/>
      <c r="G119" s="40"/>
      <c r="H119" s="40"/>
      <c r="I119" s="40"/>
      <c r="J119" s="40"/>
      <c r="K119" s="42"/>
      <c r="L119" s="193" t="str">
        <f t="shared" si="7"/>
        <v/>
      </c>
      <c r="M119" s="41"/>
      <c r="N119" s="193" t="str">
        <f t="shared" si="8"/>
        <v/>
      </c>
      <c r="O119" s="32"/>
    </row>
    <row r="120" spans="1:15" ht="15" customHeight="1" x14ac:dyDescent="0.25">
      <c r="A120" s="32"/>
      <c r="B120" s="32"/>
      <c r="C120" s="39" t="s">
        <v>14</v>
      </c>
      <c r="D120" s="40"/>
      <c r="E120" s="40"/>
      <c r="F120" s="40"/>
      <c r="G120" s="40"/>
      <c r="H120" s="40"/>
      <c r="I120" s="40"/>
      <c r="J120" s="40"/>
      <c r="K120" s="42"/>
      <c r="L120" s="193" t="str">
        <f t="shared" si="7"/>
        <v/>
      </c>
      <c r="M120" s="41"/>
      <c r="N120" s="193" t="str">
        <f t="shared" si="8"/>
        <v/>
      </c>
      <c r="O120" s="32"/>
    </row>
    <row r="121" spans="1:15" ht="15" customHeight="1" x14ac:dyDescent="0.25">
      <c r="A121" s="32"/>
      <c r="B121" s="32"/>
      <c r="C121" s="39" t="s">
        <v>14</v>
      </c>
      <c r="D121" s="40"/>
      <c r="E121" s="40"/>
      <c r="F121" s="40"/>
      <c r="G121" s="40"/>
      <c r="H121" s="40"/>
      <c r="I121" s="40"/>
      <c r="J121" s="40"/>
      <c r="K121" s="42"/>
      <c r="L121" s="193" t="str">
        <f t="shared" si="7"/>
        <v/>
      </c>
      <c r="M121" s="41"/>
      <c r="N121" s="193" t="str">
        <f t="shared" si="8"/>
        <v/>
      </c>
      <c r="O121" s="32"/>
    </row>
    <row r="122" spans="1:15" ht="15" customHeight="1" x14ac:dyDescent="0.25">
      <c r="A122" s="32"/>
      <c r="B122" s="32"/>
      <c r="C122" s="39" t="s">
        <v>14</v>
      </c>
      <c r="D122" s="40"/>
      <c r="E122" s="40"/>
      <c r="F122" s="40"/>
      <c r="G122" s="40"/>
      <c r="H122" s="40"/>
      <c r="I122" s="40"/>
      <c r="J122" s="40"/>
      <c r="K122" s="42"/>
      <c r="L122" s="193" t="str">
        <f t="shared" si="7"/>
        <v/>
      </c>
      <c r="M122" s="41"/>
      <c r="N122" s="193" t="str">
        <f t="shared" si="8"/>
        <v/>
      </c>
      <c r="O122" s="32"/>
    </row>
    <row r="123" spans="1:15" ht="15" customHeight="1" x14ac:dyDescent="0.25">
      <c r="A123" s="32"/>
      <c r="B123" s="32"/>
      <c r="C123" s="39" t="s">
        <v>14</v>
      </c>
      <c r="D123" s="40"/>
      <c r="E123" s="40"/>
      <c r="F123" s="40"/>
      <c r="G123" s="40"/>
      <c r="H123" s="40"/>
      <c r="I123" s="40"/>
      <c r="J123" s="40"/>
      <c r="K123" s="42"/>
      <c r="L123" s="193" t="str">
        <f t="shared" si="7"/>
        <v/>
      </c>
      <c r="M123" s="41"/>
      <c r="N123" s="193" t="str">
        <f t="shared" si="8"/>
        <v/>
      </c>
      <c r="O123" s="32"/>
    </row>
    <row r="124" spans="1:15" ht="15" customHeight="1" x14ac:dyDescent="0.25">
      <c r="A124" s="32"/>
      <c r="B124" s="32"/>
      <c r="C124" s="39" t="s">
        <v>14</v>
      </c>
      <c r="D124" s="40"/>
      <c r="E124" s="40"/>
      <c r="F124" s="40"/>
      <c r="G124" s="40"/>
      <c r="H124" s="40"/>
      <c r="I124" s="40"/>
      <c r="J124" s="40"/>
      <c r="K124" s="42"/>
      <c r="L124" s="193" t="str">
        <f t="shared" si="7"/>
        <v/>
      </c>
      <c r="M124" s="41"/>
      <c r="N124" s="193" t="str">
        <f t="shared" si="8"/>
        <v/>
      </c>
      <c r="O124" s="32"/>
    </row>
    <row r="125" spans="1:15" ht="15" customHeight="1" x14ac:dyDescent="0.25">
      <c r="A125" s="43" t="s">
        <v>98</v>
      </c>
      <c r="B125" s="43" t="str">
        <f>COUNTIF(B110:B124,"?*")&amp;" alunos"</f>
        <v>1 alunos</v>
      </c>
      <c r="C125" s="36"/>
      <c r="D125" s="36"/>
      <c r="E125" s="36"/>
      <c r="F125" s="36"/>
      <c r="G125" s="36"/>
      <c r="H125" s="36"/>
      <c r="J125" s="36"/>
      <c r="K125" s="36"/>
      <c r="L125" s="44">
        <f>SUM(L110:L124)</f>
        <v>180000</v>
      </c>
      <c r="M125" s="36"/>
      <c r="N125" s="44">
        <f>SUM(N110:N124)</f>
        <v>180000</v>
      </c>
      <c r="O125" s="36"/>
    </row>
    <row r="126" spans="1:15" ht="15" customHeight="1" x14ac:dyDescent="0.25">
      <c r="A126" s="13"/>
      <c r="B126" s="13"/>
      <c r="L126" s="14"/>
      <c r="N126" s="14"/>
    </row>
    <row r="127" spans="1:15" ht="15" customHeight="1" x14ac:dyDescent="0.25">
      <c r="A127" s="45" t="s">
        <v>103</v>
      </c>
    </row>
    <row r="128" spans="1:15" ht="15" customHeight="1" x14ac:dyDescent="0.25">
      <c r="A128" s="31" t="s">
        <v>64</v>
      </c>
      <c r="B128" s="31" t="s">
        <v>65</v>
      </c>
      <c r="C128" s="31" t="s">
        <v>66</v>
      </c>
      <c r="D128" s="31" t="s">
        <v>67</v>
      </c>
      <c r="E128" s="31" t="s">
        <v>68</v>
      </c>
      <c r="F128" s="31" t="s">
        <v>69</v>
      </c>
      <c r="G128" s="31" t="s">
        <v>70</v>
      </c>
      <c r="H128" s="31" t="s">
        <v>71</v>
      </c>
      <c r="I128" s="31" t="s">
        <v>72</v>
      </c>
      <c r="J128" s="31" t="s">
        <v>73</v>
      </c>
      <c r="K128" s="31" t="s">
        <v>74</v>
      </c>
      <c r="L128" s="31" t="s">
        <v>11</v>
      </c>
      <c r="M128" s="31" t="s">
        <v>75</v>
      </c>
      <c r="N128" s="31" t="s">
        <v>12</v>
      </c>
      <c r="O128" s="31" t="s">
        <v>76</v>
      </c>
    </row>
    <row r="129" spans="1:15" ht="15" customHeight="1" x14ac:dyDescent="0.25">
      <c r="A129" s="32" t="s">
        <v>104</v>
      </c>
      <c r="B129" s="32" t="s">
        <v>105</v>
      </c>
      <c r="C129" s="32" t="s">
        <v>15</v>
      </c>
      <c r="D129" s="33">
        <v>150000</v>
      </c>
      <c r="E129" s="33">
        <v>40000</v>
      </c>
      <c r="F129" s="33"/>
      <c r="G129" s="33">
        <v>30000</v>
      </c>
      <c r="H129" s="33"/>
      <c r="I129" s="33">
        <v>40000</v>
      </c>
      <c r="J129" s="33"/>
      <c r="K129" s="192">
        <v>46230</v>
      </c>
      <c r="L129" s="193">
        <f t="shared" ref="L129:L160" si="9">IF(B129="","",SUM(D129:J129))</f>
        <v>260000</v>
      </c>
      <c r="M129" s="34">
        <v>0</v>
      </c>
      <c r="N129" s="193">
        <f t="shared" ref="N129:N160" si="10">IF(B129="","",L129*(1-IF(M129="",0,M129)))</f>
        <v>260000</v>
      </c>
      <c r="O129" s="32"/>
    </row>
    <row r="130" spans="1:15" ht="15" customHeight="1" x14ac:dyDescent="0.25">
      <c r="A130" s="32" t="s">
        <v>106</v>
      </c>
      <c r="B130" s="32" t="s">
        <v>107</v>
      </c>
      <c r="C130" s="32" t="s">
        <v>15</v>
      </c>
      <c r="D130" s="33">
        <v>150000</v>
      </c>
      <c r="E130" s="33">
        <v>54000</v>
      </c>
      <c r="F130" s="33"/>
      <c r="G130" s="33">
        <v>30000</v>
      </c>
      <c r="H130" s="33"/>
      <c r="I130" s="33"/>
      <c r="J130" s="33"/>
      <c r="K130" s="192">
        <v>46229</v>
      </c>
      <c r="L130" s="193">
        <f t="shared" si="9"/>
        <v>234000</v>
      </c>
      <c r="M130" s="34">
        <v>0</v>
      </c>
      <c r="N130" s="193">
        <f t="shared" si="10"/>
        <v>234000</v>
      </c>
      <c r="O130" s="32"/>
    </row>
    <row r="131" spans="1:15" ht="15" customHeight="1" x14ac:dyDescent="0.25">
      <c r="A131" s="32" t="s">
        <v>108</v>
      </c>
      <c r="B131" s="32" t="s">
        <v>109</v>
      </c>
      <c r="C131" s="32" t="s">
        <v>15</v>
      </c>
      <c r="D131" s="33">
        <v>150000</v>
      </c>
      <c r="E131" s="33"/>
      <c r="F131" s="33"/>
      <c r="G131" s="33">
        <v>0</v>
      </c>
      <c r="H131" s="33"/>
      <c r="I131" s="33">
        <v>40000</v>
      </c>
      <c r="J131" s="33"/>
      <c r="K131" s="192">
        <v>46239</v>
      </c>
      <c r="L131" s="193">
        <f t="shared" si="9"/>
        <v>190000</v>
      </c>
      <c r="M131" s="34">
        <v>0</v>
      </c>
      <c r="N131" s="193">
        <f t="shared" si="10"/>
        <v>190000</v>
      </c>
      <c r="O131" s="32"/>
    </row>
    <row r="132" spans="1:15" ht="15" customHeight="1" x14ac:dyDescent="0.25">
      <c r="A132" s="32" t="s">
        <v>110</v>
      </c>
      <c r="B132" s="32" t="s">
        <v>111</v>
      </c>
      <c r="C132" s="32" t="s">
        <v>15</v>
      </c>
      <c r="D132" s="33">
        <v>150000</v>
      </c>
      <c r="E132" s="33"/>
      <c r="F132" s="33"/>
      <c r="G132" s="33">
        <v>0</v>
      </c>
      <c r="H132" s="33"/>
      <c r="I132" s="33"/>
      <c r="J132" s="33"/>
      <c r="K132" s="192">
        <v>46245</v>
      </c>
      <c r="L132" s="193">
        <f t="shared" si="9"/>
        <v>150000</v>
      </c>
      <c r="M132" s="34">
        <v>0</v>
      </c>
      <c r="N132" s="193">
        <f t="shared" si="10"/>
        <v>150000</v>
      </c>
      <c r="O132" s="32"/>
    </row>
    <row r="133" spans="1:15" ht="15" customHeight="1" x14ac:dyDescent="0.25">
      <c r="A133" s="32"/>
      <c r="B133" s="32"/>
      <c r="C133" s="32" t="s">
        <v>15</v>
      </c>
      <c r="D133" s="33"/>
      <c r="E133" s="33"/>
      <c r="F133" s="33"/>
      <c r="G133" s="33"/>
      <c r="H133" s="33"/>
      <c r="I133" s="33"/>
      <c r="J133" s="33"/>
      <c r="K133" s="32"/>
      <c r="L133" s="193" t="str">
        <f t="shared" si="9"/>
        <v/>
      </c>
      <c r="M133" s="34"/>
      <c r="N133" s="193" t="str">
        <f t="shared" si="10"/>
        <v/>
      </c>
      <c r="O133" s="32"/>
    </row>
    <row r="134" spans="1:15" ht="15" customHeight="1" x14ac:dyDescent="0.25">
      <c r="A134" s="32"/>
      <c r="B134" s="32"/>
      <c r="C134" s="32" t="s">
        <v>15</v>
      </c>
      <c r="D134" s="33"/>
      <c r="E134" s="33"/>
      <c r="F134" s="33"/>
      <c r="G134" s="33"/>
      <c r="H134" s="33"/>
      <c r="I134" s="33"/>
      <c r="J134" s="33"/>
      <c r="K134" s="32"/>
      <c r="L134" s="193" t="str">
        <f t="shared" si="9"/>
        <v/>
      </c>
      <c r="M134" s="34"/>
      <c r="N134" s="193" t="str">
        <f t="shared" si="10"/>
        <v/>
      </c>
      <c r="O134" s="32"/>
    </row>
    <row r="135" spans="1:15" ht="15" customHeight="1" x14ac:dyDescent="0.25">
      <c r="A135" s="32"/>
      <c r="B135" s="32"/>
      <c r="C135" s="32" t="s">
        <v>15</v>
      </c>
      <c r="D135" s="33"/>
      <c r="E135" s="33"/>
      <c r="F135" s="33"/>
      <c r="G135" s="33"/>
      <c r="H135" s="33"/>
      <c r="I135" s="33"/>
      <c r="J135" s="33"/>
      <c r="K135" s="32"/>
      <c r="L135" s="193" t="str">
        <f t="shared" si="9"/>
        <v/>
      </c>
      <c r="M135" s="34"/>
      <c r="N135" s="193" t="str">
        <f t="shared" si="10"/>
        <v/>
      </c>
      <c r="O135" s="32"/>
    </row>
    <row r="136" spans="1:15" ht="15" customHeight="1" x14ac:dyDescent="0.25">
      <c r="A136" s="32"/>
      <c r="B136" s="32"/>
      <c r="C136" s="32" t="s">
        <v>15</v>
      </c>
      <c r="D136" s="33"/>
      <c r="E136" s="33"/>
      <c r="F136" s="33"/>
      <c r="G136" s="33"/>
      <c r="H136" s="33"/>
      <c r="I136" s="33"/>
      <c r="J136" s="33"/>
      <c r="K136" s="32"/>
      <c r="L136" s="193" t="str">
        <f t="shared" si="9"/>
        <v/>
      </c>
      <c r="M136" s="34"/>
      <c r="N136" s="193" t="str">
        <f t="shared" si="10"/>
        <v/>
      </c>
      <c r="O136" s="32"/>
    </row>
    <row r="137" spans="1:15" ht="15" customHeight="1" x14ac:dyDescent="0.25">
      <c r="A137" s="32"/>
      <c r="B137" s="32"/>
      <c r="C137" s="32" t="s">
        <v>15</v>
      </c>
      <c r="D137" s="33"/>
      <c r="E137" s="33"/>
      <c r="F137" s="33"/>
      <c r="G137" s="33"/>
      <c r="H137" s="33"/>
      <c r="I137" s="33"/>
      <c r="J137" s="33"/>
      <c r="K137" s="32"/>
      <c r="L137" s="193" t="str">
        <f t="shared" si="9"/>
        <v/>
      </c>
      <c r="M137" s="34"/>
      <c r="N137" s="193" t="str">
        <f t="shared" si="10"/>
        <v/>
      </c>
      <c r="O137" s="32"/>
    </row>
    <row r="138" spans="1:15" ht="15" customHeight="1" x14ac:dyDescent="0.25">
      <c r="A138" s="32"/>
      <c r="B138" s="32"/>
      <c r="C138" s="32" t="s">
        <v>15</v>
      </c>
      <c r="D138" s="33"/>
      <c r="E138" s="33"/>
      <c r="F138" s="33"/>
      <c r="G138" s="33"/>
      <c r="H138" s="33"/>
      <c r="I138" s="33"/>
      <c r="J138" s="33"/>
      <c r="K138" s="32"/>
      <c r="L138" s="193" t="str">
        <f t="shared" si="9"/>
        <v/>
      </c>
      <c r="M138" s="34"/>
      <c r="N138" s="193" t="str">
        <f t="shared" si="10"/>
        <v/>
      </c>
      <c r="O138" s="32"/>
    </row>
    <row r="139" spans="1:15" ht="15" customHeight="1" x14ac:dyDescent="0.25">
      <c r="A139" s="32"/>
      <c r="B139" s="32"/>
      <c r="C139" s="32" t="s">
        <v>15</v>
      </c>
      <c r="D139" s="33"/>
      <c r="E139" s="33"/>
      <c r="F139" s="33"/>
      <c r="G139" s="33"/>
      <c r="H139" s="33"/>
      <c r="I139" s="33"/>
      <c r="J139" s="33"/>
      <c r="K139" s="32"/>
      <c r="L139" s="193" t="str">
        <f t="shared" si="9"/>
        <v/>
      </c>
      <c r="M139" s="34"/>
      <c r="N139" s="193" t="str">
        <f t="shared" si="10"/>
        <v/>
      </c>
      <c r="O139" s="32"/>
    </row>
    <row r="140" spans="1:15" ht="15" customHeight="1" x14ac:dyDescent="0.25">
      <c r="A140" s="32"/>
      <c r="B140" s="32"/>
      <c r="C140" s="32" t="s">
        <v>15</v>
      </c>
      <c r="D140" s="33"/>
      <c r="E140" s="33"/>
      <c r="F140" s="33"/>
      <c r="G140" s="33"/>
      <c r="H140" s="33"/>
      <c r="I140" s="33"/>
      <c r="J140" s="33"/>
      <c r="K140" s="32"/>
      <c r="L140" s="193" t="str">
        <f t="shared" si="9"/>
        <v/>
      </c>
      <c r="M140" s="34"/>
      <c r="N140" s="193" t="str">
        <f t="shared" si="10"/>
        <v/>
      </c>
      <c r="O140" s="32"/>
    </row>
    <row r="141" spans="1:15" ht="15" customHeight="1" x14ac:dyDescent="0.25">
      <c r="A141" s="32"/>
      <c r="B141" s="32"/>
      <c r="C141" s="32" t="s">
        <v>15</v>
      </c>
      <c r="D141" s="33"/>
      <c r="E141" s="33"/>
      <c r="F141" s="33"/>
      <c r="G141" s="33"/>
      <c r="H141" s="33"/>
      <c r="I141" s="33"/>
      <c r="J141" s="33"/>
      <c r="K141" s="32"/>
      <c r="L141" s="193" t="str">
        <f t="shared" si="9"/>
        <v/>
      </c>
      <c r="M141" s="34"/>
      <c r="N141" s="193" t="str">
        <f t="shared" si="10"/>
        <v/>
      </c>
      <c r="O141" s="32"/>
    </row>
    <row r="142" spans="1:15" ht="15" customHeight="1" x14ac:dyDescent="0.25">
      <c r="A142" s="32"/>
      <c r="B142" s="32"/>
      <c r="C142" s="32" t="s">
        <v>15</v>
      </c>
      <c r="D142" s="33"/>
      <c r="E142" s="33"/>
      <c r="F142" s="33"/>
      <c r="G142" s="33"/>
      <c r="H142" s="33"/>
      <c r="I142" s="33"/>
      <c r="J142" s="33"/>
      <c r="K142" s="32"/>
      <c r="L142" s="193" t="str">
        <f t="shared" si="9"/>
        <v/>
      </c>
      <c r="M142" s="34"/>
      <c r="N142" s="193" t="str">
        <f t="shared" si="10"/>
        <v/>
      </c>
      <c r="O142" s="32"/>
    </row>
    <row r="143" spans="1:15" ht="15" customHeight="1" x14ac:dyDescent="0.25">
      <c r="A143" s="32"/>
      <c r="B143" s="32"/>
      <c r="C143" s="32" t="s">
        <v>15</v>
      </c>
      <c r="D143" s="33"/>
      <c r="E143" s="33"/>
      <c r="F143" s="33"/>
      <c r="G143" s="33"/>
      <c r="H143" s="33"/>
      <c r="I143" s="33"/>
      <c r="J143" s="33"/>
      <c r="K143" s="32"/>
      <c r="L143" s="193" t="str">
        <f t="shared" si="9"/>
        <v/>
      </c>
      <c r="M143" s="34"/>
      <c r="N143" s="193" t="str">
        <f t="shared" si="10"/>
        <v/>
      </c>
      <c r="O143" s="32"/>
    </row>
    <row r="144" spans="1:15" ht="15" customHeight="1" x14ac:dyDescent="0.25">
      <c r="A144" s="32"/>
      <c r="B144" s="32"/>
      <c r="C144" s="32" t="s">
        <v>15</v>
      </c>
      <c r="D144" s="33"/>
      <c r="E144" s="33"/>
      <c r="F144" s="33"/>
      <c r="G144" s="33"/>
      <c r="H144" s="33"/>
      <c r="I144" s="33"/>
      <c r="J144" s="33"/>
      <c r="K144" s="32"/>
      <c r="L144" s="193" t="str">
        <f t="shared" si="9"/>
        <v/>
      </c>
      <c r="M144" s="34"/>
      <c r="N144" s="193" t="str">
        <f t="shared" si="10"/>
        <v/>
      </c>
      <c r="O144" s="32"/>
    </row>
    <row r="145" spans="1:15" ht="15" customHeight="1" x14ac:dyDescent="0.25">
      <c r="A145" s="32"/>
      <c r="B145" s="32"/>
      <c r="C145" s="32" t="s">
        <v>15</v>
      </c>
      <c r="D145" s="33"/>
      <c r="E145" s="33"/>
      <c r="F145" s="33"/>
      <c r="G145" s="33"/>
      <c r="H145" s="33"/>
      <c r="I145" s="33"/>
      <c r="J145" s="33"/>
      <c r="K145" s="32"/>
      <c r="L145" s="193" t="str">
        <f t="shared" si="9"/>
        <v/>
      </c>
      <c r="M145" s="34"/>
      <c r="N145" s="193" t="str">
        <f t="shared" si="10"/>
        <v/>
      </c>
      <c r="O145" s="32"/>
    </row>
    <row r="146" spans="1:15" ht="15" customHeight="1" x14ac:dyDescent="0.25">
      <c r="A146" s="32"/>
      <c r="B146" s="32"/>
      <c r="C146" s="32" t="s">
        <v>15</v>
      </c>
      <c r="D146" s="33"/>
      <c r="E146" s="33"/>
      <c r="F146" s="33"/>
      <c r="G146" s="33"/>
      <c r="H146" s="33"/>
      <c r="I146" s="33"/>
      <c r="J146" s="33"/>
      <c r="K146" s="32"/>
      <c r="L146" s="193" t="str">
        <f t="shared" si="9"/>
        <v/>
      </c>
      <c r="M146" s="34"/>
      <c r="N146" s="193" t="str">
        <f t="shared" si="10"/>
        <v/>
      </c>
      <c r="O146" s="32"/>
    </row>
    <row r="147" spans="1:15" ht="15" customHeight="1" x14ac:dyDescent="0.25">
      <c r="A147" s="32"/>
      <c r="B147" s="32"/>
      <c r="C147" s="32" t="s">
        <v>15</v>
      </c>
      <c r="D147" s="33"/>
      <c r="E147" s="33"/>
      <c r="F147" s="33"/>
      <c r="G147" s="33"/>
      <c r="H147" s="33"/>
      <c r="I147" s="33"/>
      <c r="J147" s="33"/>
      <c r="K147" s="32"/>
      <c r="L147" s="193" t="str">
        <f t="shared" si="9"/>
        <v/>
      </c>
      <c r="M147" s="34"/>
      <c r="N147" s="193" t="str">
        <f t="shared" si="10"/>
        <v/>
      </c>
      <c r="O147" s="32"/>
    </row>
    <row r="148" spans="1:15" ht="15" customHeight="1" x14ac:dyDescent="0.25">
      <c r="A148" s="32"/>
      <c r="B148" s="32"/>
      <c r="C148" s="32" t="s">
        <v>15</v>
      </c>
      <c r="D148" s="33"/>
      <c r="E148" s="33"/>
      <c r="F148" s="33"/>
      <c r="G148" s="33"/>
      <c r="H148" s="33"/>
      <c r="I148" s="33"/>
      <c r="J148" s="33"/>
      <c r="K148" s="32"/>
      <c r="L148" s="193" t="str">
        <f t="shared" si="9"/>
        <v/>
      </c>
      <c r="M148" s="34"/>
      <c r="N148" s="193" t="str">
        <f t="shared" si="10"/>
        <v/>
      </c>
      <c r="O148" s="32"/>
    </row>
    <row r="149" spans="1:15" ht="15" customHeight="1" x14ac:dyDescent="0.25">
      <c r="A149" s="32"/>
      <c r="B149" s="32"/>
      <c r="C149" s="32" t="s">
        <v>15</v>
      </c>
      <c r="D149" s="33"/>
      <c r="E149" s="33"/>
      <c r="F149" s="33"/>
      <c r="G149" s="33"/>
      <c r="H149" s="33"/>
      <c r="I149" s="33"/>
      <c r="J149" s="33"/>
      <c r="K149" s="32"/>
      <c r="L149" s="193" t="str">
        <f t="shared" si="9"/>
        <v/>
      </c>
      <c r="M149" s="34"/>
      <c r="N149" s="193" t="str">
        <f t="shared" si="10"/>
        <v/>
      </c>
      <c r="O149" s="32"/>
    </row>
    <row r="150" spans="1:15" ht="15" customHeight="1" x14ac:dyDescent="0.25">
      <c r="A150" s="32"/>
      <c r="B150" s="32"/>
      <c r="C150" s="32" t="s">
        <v>15</v>
      </c>
      <c r="D150" s="33"/>
      <c r="E150" s="33"/>
      <c r="F150" s="33"/>
      <c r="G150" s="33"/>
      <c r="H150" s="33"/>
      <c r="I150" s="33"/>
      <c r="J150" s="33"/>
      <c r="K150" s="32"/>
      <c r="L150" s="193" t="str">
        <f t="shared" si="9"/>
        <v/>
      </c>
      <c r="M150" s="34"/>
      <c r="N150" s="193" t="str">
        <f t="shared" si="10"/>
        <v/>
      </c>
      <c r="O150" s="32"/>
    </row>
    <row r="151" spans="1:15" ht="15" customHeight="1" x14ac:dyDescent="0.25">
      <c r="A151" s="32"/>
      <c r="B151" s="32"/>
      <c r="C151" s="32" t="s">
        <v>15</v>
      </c>
      <c r="D151" s="33"/>
      <c r="E151" s="33"/>
      <c r="F151" s="33"/>
      <c r="G151" s="33"/>
      <c r="H151" s="33"/>
      <c r="I151" s="33"/>
      <c r="J151" s="33"/>
      <c r="K151" s="32"/>
      <c r="L151" s="193" t="str">
        <f t="shared" si="9"/>
        <v/>
      </c>
      <c r="M151" s="34"/>
      <c r="N151" s="193" t="str">
        <f t="shared" si="10"/>
        <v/>
      </c>
      <c r="O151" s="32"/>
    </row>
    <row r="152" spans="1:15" ht="15" customHeight="1" x14ac:dyDescent="0.25">
      <c r="A152" s="32"/>
      <c r="B152" s="32"/>
      <c r="C152" s="32" t="s">
        <v>15</v>
      </c>
      <c r="D152" s="33"/>
      <c r="E152" s="33"/>
      <c r="F152" s="33"/>
      <c r="G152" s="33"/>
      <c r="H152" s="33"/>
      <c r="I152" s="33"/>
      <c r="J152" s="33"/>
      <c r="K152" s="32"/>
      <c r="L152" s="193" t="str">
        <f t="shared" si="9"/>
        <v/>
      </c>
      <c r="M152" s="34"/>
      <c r="N152" s="193" t="str">
        <f t="shared" si="10"/>
        <v/>
      </c>
      <c r="O152" s="32"/>
    </row>
    <row r="153" spans="1:15" ht="15" customHeight="1" x14ac:dyDescent="0.25">
      <c r="A153" s="32"/>
      <c r="B153" s="32"/>
      <c r="C153" s="32" t="s">
        <v>15</v>
      </c>
      <c r="D153" s="33"/>
      <c r="E153" s="33"/>
      <c r="F153" s="33"/>
      <c r="G153" s="33"/>
      <c r="H153" s="33"/>
      <c r="I153" s="33"/>
      <c r="J153" s="33"/>
      <c r="K153" s="32"/>
      <c r="L153" s="193" t="str">
        <f t="shared" si="9"/>
        <v/>
      </c>
      <c r="M153" s="34"/>
      <c r="N153" s="193" t="str">
        <f t="shared" si="10"/>
        <v/>
      </c>
      <c r="O153" s="32"/>
    </row>
    <row r="154" spans="1:15" ht="15" customHeight="1" x14ac:dyDescent="0.25">
      <c r="A154" s="32"/>
      <c r="B154" s="32"/>
      <c r="C154" s="32" t="s">
        <v>15</v>
      </c>
      <c r="D154" s="33"/>
      <c r="E154" s="33"/>
      <c r="F154" s="33"/>
      <c r="G154" s="33"/>
      <c r="H154" s="33"/>
      <c r="I154" s="33"/>
      <c r="J154" s="33"/>
      <c r="K154" s="32"/>
      <c r="L154" s="193" t="str">
        <f t="shared" si="9"/>
        <v/>
      </c>
      <c r="M154" s="34"/>
      <c r="N154" s="193" t="str">
        <f t="shared" si="10"/>
        <v/>
      </c>
      <c r="O154" s="32"/>
    </row>
    <row r="155" spans="1:15" ht="15" customHeight="1" x14ac:dyDescent="0.25">
      <c r="A155" s="32"/>
      <c r="B155" s="32"/>
      <c r="C155" s="32" t="s">
        <v>15</v>
      </c>
      <c r="D155" s="33"/>
      <c r="E155" s="33"/>
      <c r="F155" s="33"/>
      <c r="G155" s="33"/>
      <c r="H155" s="33"/>
      <c r="I155" s="33"/>
      <c r="J155" s="33"/>
      <c r="K155" s="32"/>
      <c r="L155" s="193" t="str">
        <f t="shared" si="9"/>
        <v/>
      </c>
      <c r="M155" s="34"/>
      <c r="N155" s="193" t="str">
        <f t="shared" si="10"/>
        <v/>
      </c>
      <c r="O155" s="32"/>
    </row>
    <row r="156" spans="1:15" ht="15" customHeight="1" x14ac:dyDescent="0.25">
      <c r="A156" s="32"/>
      <c r="B156" s="32"/>
      <c r="C156" s="32" t="s">
        <v>15</v>
      </c>
      <c r="D156" s="33"/>
      <c r="E156" s="33"/>
      <c r="F156" s="33"/>
      <c r="G156" s="33"/>
      <c r="H156" s="33"/>
      <c r="I156" s="33"/>
      <c r="J156" s="33"/>
      <c r="K156" s="32"/>
      <c r="L156" s="193" t="str">
        <f t="shared" si="9"/>
        <v/>
      </c>
      <c r="M156" s="34"/>
      <c r="N156" s="193" t="str">
        <f t="shared" si="10"/>
        <v/>
      </c>
      <c r="O156" s="32"/>
    </row>
    <row r="157" spans="1:15" ht="15" customHeight="1" x14ac:dyDescent="0.25">
      <c r="A157" s="32"/>
      <c r="B157" s="32"/>
      <c r="C157" s="32" t="s">
        <v>15</v>
      </c>
      <c r="D157" s="33"/>
      <c r="E157" s="33"/>
      <c r="F157" s="33"/>
      <c r="G157" s="33"/>
      <c r="H157" s="33"/>
      <c r="I157" s="33"/>
      <c r="J157" s="33"/>
      <c r="K157" s="32"/>
      <c r="L157" s="193" t="str">
        <f t="shared" si="9"/>
        <v/>
      </c>
      <c r="M157" s="34"/>
      <c r="N157" s="193" t="str">
        <f t="shared" si="10"/>
        <v/>
      </c>
      <c r="O157" s="32"/>
    </row>
    <row r="158" spans="1:15" ht="15" customHeight="1" x14ac:dyDescent="0.25">
      <c r="A158" s="32"/>
      <c r="B158" s="32"/>
      <c r="C158" s="32" t="s">
        <v>15</v>
      </c>
      <c r="D158" s="33"/>
      <c r="E158" s="33"/>
      <c r="F158" s="33"/>
      <c r="G158" s="33"/>
      <c r="H158" s="33"/>
      <c r="I158" s="33"/>
      <c r="J158" s="33"/>
      <c r="K158" s="32"/>
      <c r="L158" s="193" t="str">
        <f t="shared" si="9"/>
        <v/>
      </c>
      <c r="M158" s="34"/>
      <c r="N158" s="193" t="str">
        <f t="shared" si="10"/>
        <v/>
      </c>
      <c r="O158" s="32"/>
    </row>
    <row r="159" spans="1:15" ht="15" customHeight="1" x14ac:dyDescent="0.25">
      <c r="A159" s="32"/>
      <c r="B159" s="32"/>
      <c r="C159" s="32" t="s">
        <v>15</v>
      </c>
      <c r="D159" s="33"/>
      <c r="E159" s="33"/>
      <c r="F159" s="33"/>
      <c r="G159" s="33"/>
      <c r="H159" s="33"/>
      <c r="I159" s="33"/>
      <c r="J159" s="33"/>
      <c r="K159" s="32"/>
      <c r="L159" s="193" t="str">
        <f t="shared" si="9"/>
        <v/>
      </c>
      <c r="M159" s="34"/>
      <c r="N159" s="193" t="str">
        <f t="shared" si="10"/>
        <v/>
      </c>
      <c r="O159" s="32"/>
    </row>
    <row r="160" spans="1:15" ht="15" customHeight="1" x14ac:dyDescent="0.25">
      <c r="A160" s="32"/>
      <c r="B160" s="32"/>
      <c r="C160" s="32" t="s">
        <v>15</v>
      </c>
      <c r="D160" s="33"/>
      <c r="E160" s="33"/>
      <c r="F160" s="33"/>
      <c r="G160" s="33"/>
      <c r="H160" s="33"/>
      <c r="I160" s="33"/>
      <c r="J160" s="33"/>
      <c r="K160" s="32"/>
      <c r="L160" s="193" t="str">
        <f t="shared" si="9"/>
        <v/>
      </c>
      <c r="M160" s="34"/>
      <c r="N160" s="193" t="str">
        <f t="shared" si="10"/>
        <v/>
      </c>
      <c r="O160" s="32"/>
    </row>
    <row r="161" spans="1:15" ht="15" customHeight="1" x14ac:dyDescent="0.25">
      <c r="A161" s="32"/>
      <c r="B161" s="32"/>
      <c r="C161" s="32" t="s">
        <v>15</v>
      </c>
      <c r="D161" s="33"/>
      <c r="E161" s="33"/>
      <c r="F161" s="33"/>
      <c r="G161" s="33"/>
      <c r="H161" s="33"/>
      <c r="I161" s="33"/>
      <c r="J161" s="33"/>
      <c r="K161" s="32"/>
      <c r="L161" s="193" t="str">
        <f t="shared" ref="L161:L187" si="11">IF(B161="","",SUM(D161:J161))</f>
        <v/>
      </c>
      <c r="M161" s="34"/>
      <c r="N161" s="193" t="str">
        <f t="shared" ref="N161:N187" si="12">IF(B161="","",L161*(1-IF(M161="",0,M161)))</f>
        <v/>
      </c>
      <c r="O161" s="32"/>
    </row>
    <row r="162" spans="1:15" ht="15" customHeight="1" x14ac:dyDescent="0.25">
      <c r="A162" s="32"/>
      <c r="B162" s="32"/>
      <c r="C162" s="32" t="s">
        <v>15</v>
      </c>
      <c r="D162" s="33"/>
      <c r="E162" s="33"/>
      <c r="F162" s="33"/>
      <c r="G162" s="33"/>
      <c r="H162" s="33"/>
      <c r="I162" s="33"/>
      <c r="J162" s="33"/>
      <c r="K162" s="32"/>
      <c r="L162" s="193" t="str">
        <f t="shared" si="11"/>
        <v/>
      </c>
      <c r="M162" s="34"/>
      <c r="N162" s="193" t="str">
        <f t="shared" si="12"/>
        <v/>
      </c>
      <c r="O162" s="32"/>
    </row>
    <row r="163" spans="1:15" ht="15" customHeight="1" x14ac:dyDescent="0.25">
      <c r="A163" s="32"/>
      <c r="B163" s="32"/>
      <c r="C163" s="32" t="s">
        <v>15</v>
      </c>
      <c r="D163" s="33"/>
      <c r="E163" s="33"/>
      <c r="F163" s="33"/>
      <c r="G163" s="33"/>
      <c r="H163" s="33"/>
      <c r="I163" s="33"/>
      <c r="J163" s="33"/>
      <c r="K163" s="32"/>
      <c r="L163" s="193" t="str">
        <f t="shared" si="11"/>
        <v/>
      </c>
      <c r="M163" s="34"/>
      <c r="N163" s="193" t="str">
        <f t="shared" si="12"/>
        <v/>
      </c>
      <c r="O163" s="32"/>
    </row>
    <row r="164" spans="1:15" ht="15" customHeight="1" x14ac:dyDescent="0.25">
      <c r="A164" s="32"/>
      <c r="B164" s="32"/>
      <c r="C164" s="32" t="s">
        <v>15</v>
      </c>
      <c r="D164" s="33"/>
      <c r="E164" s="33"/>
      <c r="F164" s="33"/>
      <c r="G164" s="33"/>
      <c r="H164" s="33"/>
      <c r="I164" s="33"/>
      <c r="J164" s="33"/>
      <c r="K164" s="32"/>
      <c r="L164" s="193" t="str">
        <f t="shared" si="11"/>
        <v/>
      </c>
      <c r="M164" s="34"/>
      <c r="N164" s="193" t="str">
        <f t="shared" si="12"/>
        <v/>
      </c>
      <c r="O164" s="32"/>
    </row>
    <row r="165" spans="1:15" ht="15" customHeight="1" x14ac:dyDescent="0.25">
      <c r="A165" s="32"/>
      <c r="B165" s="32"/>
      <c r="C165" s="32" t="s">
        <v>15</v>
      </c>
      <c r="D165" s="33"/>
      <c r="E165" s="33"/>
      <c r="F165" s="33"/>
      <c r="G165" s="33"/>
      <c r="H165" s="33"/>
      <c r="I165" s="33"/>
      <c r="J165" s="33"/>
      <c r="K165" s="32"/>
      <c r="L165" s="193" t="str">
        <f t="shared" si="11"/>
        <v/>
      </c>
      <c r="M165" s="34"/>
      <c r="N165" s="193" t="str">
        <f t="shared" si="12"/>
        <v/>
      </c>
      <c r="O165" s="32"/>
    </row>
    <row r="166" spans="1:15" ht="15" customHeight="1" x14ac:dyDescent="0.25">
      <c r="A166" s="32"/>
      <c r="B166" s="32"/>
      <c r="C166" s="32" t="s">
        <v>15</v>
      </c>
      <c r="D166" s="33"/>
      <c r="E166" s="33"/>
      <c r="F166" s="33"/>
      <c r="G166" s="33"/>
      <c r="H166" s="33"/>
      <c r="I166" s="33"/>
      <c r="J166" s="33"/>
      <c r="K166" s="32"/>
      <c r="L166" s="193" t="str">
        <f t="shared" si="11"/>
        <v/>
      </c>
      <c r="M166" s="34"/>
      <c r="N166" s="193" t="str">
        <f t="shared" si="12"/>
        <v/>
      </c>
      <c r="O166" s="32"/>
    </row>
    <row r="167" spans="1:15" ht="15" customHeight="1" x14ac:dyDescent="0.25">
      <c r="A167" s="32"/>
      <c r="B167" s="32"/>
      <c r="C167" s="32" t="s">
        <v>15</v>
      </c>
      <c r="D167" s="33"/>
      <c r="E167" s="33"/>
      <c r="F167" s="33"/>
      <c r="G167" s="33"/>
      <c r="H167" s="33"/>
      <c r="I167" s="33"/>
      <c r="J167" s="33"/>
      <c r="K167" s="32"/>
      <c r="L167" s="193" t="str">
        <f t="shared" si="11"/>
        <v/>
      </c>
      <c r="M167" s="34"/>
      <c r="N167" s="193" t="str">
        <f t="shared" si="12"/>
        <v/>
      </c>
      <c r="O167" s="32"/>
    </row>
    <row r="168" spans="1:15" ht="15" customHeight="1" x14ac:dyDescent="0.25">
      <c r="A168" s="32"/>
      <c r="B168" s="32"/>
      <c r="C168" s="32" t="s">
        <v>15</v>
      </c>
      <c r="D168" s="33"/>
      <c r="E168" s="33"/>
      <c r="F168" s="33"/>
      <c r="G168" s="33"/>
      <c r="H168" s="33"/>
      <c r="I168" s="33"/>
      <c r="J168" s="33"/>
      <c r="K168" s="32"/>
      <c r="L168" s="193" t="str">
        <f t="shared" si="11"/>
        <v/>
      </c>
      <c r="M168" s="34"/>
      <c r="N168" s="193" t="str">
        <f t="shared" si="12"/>
        <v/>
      </c>
      <c r="O168" s="32"/>
    </row>
    <row r="169" spans="1:15" ht="15" customHeight="1" x14ac:dyDescent="0.25">
      <c r="A169" s="32"/>
      <c r="B169" s="32"/>
      <c r="C169" s="32" t="s">
        <v>15</v>
      </c>
      <c r="D169" s="33"/>
      <c r="E169" s="33"/>
      <c r="F169" s="33"/>
      <c r="G169" s="33"/>
      <c r="H169" s="33"/>
      <c r="I169" s="33"/>
      <c r="J169" s="33"/>
      <c r="K169" s="32"/>
      <c r="L169" s="193" t="str">
        <f t="shared" si="11"/>
        <v/>
      </c>
      <c r="M169" s="34"/>
      <c r="N169" s="193" t="str">
        <f t="shared" si="12"/>
        <v/>
      </c>
      <c r="O169" s="32"/>
    </row>
    <row r="170" spans="1:15" ht="15" customHeight="1" x14ac:dyDescent="0.25">
      <c r="A170" s="32"/>
      <c r="B170" s="32"/>
      <c r="C170" s="32" t="s">
        <v>15</v>
      </c>
      <c r="D170" s="33"/>
      <c r="E170" s="33"/>
      <c r="F170" s="33"/>
      <c r="G170" s="33"/>
      <c r="H170" s="33"/>
      <c r="I170" s="33"/>
      <c r="J170" s="33"/>
      <c r="K170" s="32"/>
      <c r="L170" s="193" t="str">
        <f t="shared" si="11"/>
        <v/>
      </c>
      <c r="M170" s="34"/>
      <c r="N170" s="193" t="str">
        <f t="shared" si="12"/>
        <v/>
      </c>
      <c r="O170" s="32"/>
    </row>
    <row r="171" spans="1:15" ht="15" customHeight="1" x14ac:dyDescent="0.25">
      <c r="A171" s="32"/>
      <c r="B171" s="32"/>
      <c r="C171" s="32" t="s">
        <v>15</v>
      </c>
      <c r="D171" s="33"/>
      <c r="E171" s="33"/>
      <c r="F171" s="33"/>
      <c r="G171" s="33"/>
      <c r="H171" s="33"/>
      <c r="I171" s="33"/>
      <c r="J171" s="33"/>
      <c r="K171" s="32"/>
      <c r="L171" s="193" t="str">
        <f t="shared" si="11"/>
        <v/>
      </c>
      <c r="M171" s="34"/>
      <c r="N171" s="193" t="str">
        <f t="shared" si="12"/>
        <v/>
      </c>
      <c r="O171" s="32"/>
    </row>
    <row r="172" spans="1:15" x14ac:dyDescent="0.25">
      <c r="A172" s="32"/>
      <c r="B172" s="32"/>
      <c r="C172" s="32" t="s">
        <v>15</v>
      </c>
      <c r="D172" s="33"/>
      <c r="E172" s="33"/>
      <c r="F172" s="33"/>
      <c r="G172" s="33"/>
      <c r="H172" s="33"/>
      <c r="I172" s="33"/>
      <c r="J172" s="33"/>
      <c r="K172" s="32"/>
      <c r="L172" s="193" t="str">
        <f t="shared" si="11"/>
        <v/>
      </c>
      <c r="M172" s="34"/>
      <c r="N172" s="193" t="str">
        <f t="shared" si="12"/>
        <v/>
      </c>
      <c r="O172" s="32"/>
    </row>
    <row r="173" spans="1:15" ht="15" customHeight="1" x14ac:dyDescent="0.25">
      <c r="A173" s="32"/>
      <c r="B173" s="32"/>
      <c r="C173" s="32" t="s">
        <v>15</v>
      </c>
      <c r="D173" s="33"/>
      <c r="E173" s="33"/>
      <c r="F173" s="33"/>
      <c r="G173" s="33"/>
      <c r="H173" s="33"/>
      <c r="I173" s="33"/>
      <c r="J173" s="33"/>
      <c r="K173" s="32"/>
      <c r="L173" s="193" t="str">
        <f t="shared" si="11"/>
        <v/>
      </c>
      <c r="M173" s="34"/>
      <c r="N173" s="193" t="str">
        <f t="shared" si="12"/>
        <v/>
      </c>
      <c r="O173" s="32"/>
    </row>
    <row r="174" spans="1:15" ht="15" customHeight="1" x14ac:dyDescent="0.25">
      <c r="A174" s="32"/>
      <c r="B174" s="32"/>
      <c r="C174" s="32" t="s">
        <v>15</v>
      </c>
      <c r="D174" s="33"/>
      <c r="E174" s="33"/>
      <c r="F174" s="33"/>
      <c r="G174" s="33"/>
      <c r="H174" s="33"/>
      <c r="I174" s="33"/>
      <c r="J174" s="33"/>
      <c r="K174" s="32"/>
      <c r="L174" s="193" t="str">
        <f t="shared" si="11"/>
        <v/>
      </c>
      <c r="M174" s="34"/>
      <c r="N174" s="193" t="str">
        <f t="shared" si="12"/>
        <v/>
      </c>
      <c r="O174" s="32"/>
    </row>
    <row r="175" spans="1:15" ht="15" customHeight="1" x14ac:dyDescent="0.25">
      <c r="A175" s="32"/>
      <c r="B175" s="32"/>
      <c r="C175" s="32" t="s">
        <v>15</v>
      </c>
      <c r="D175" s="33"/>
      <c r="E175" s="33"/>
      <c r="F175" s="33"/>
      <c r="G175" s="33"/>
      <c r="H175" s="33"/>
      <c r="I175" s="33"/>
      <c r="J175" s="33"/>
      <c r="K175" s="32"/>
      <c r="L175" s="193" t="str">
        <f t="shared" si="11"/>
        <v/>
      </c>
      <c r="M175" s="34"/>
      <c r="N175" s="193" t="str">
        <f t="shared" si="12"/>
        <v/>
      </c>
      <c r="O175" s="32"/>
    </row>
    <row r="176" spans="1:15" ht="15" customHeight="1" x14ac:dyDescent="0.25">
      <c r="A176" s="32"/>
      <c r="B176" s="32"/>
      <c r="C176" s="32" t="s">
        <v>15</v>
      </c>
      <c r="D176" s="33"/>
      <c r="E176" s="33"/>
      <c r="F176" s="33"/>
      <c r="G176" s="33"/>
      <c r="H176" s="33"/>
      <c r="I176" s="33"/>
      <c r="J176" s="33"/>
      <c r="K176" s="32"/>
      <c r="L176" s="193" t="str">
        <f t="shared" si="11"/>
        <v/>
      </c>
      <c r="M176" s="34"/>
      <c r="N176" s="193" t="str">
        <f t="shared" si="12"/>
        <v/>
      </c>
      <c r="O176" s="32"/>
    </row>
    <row r="177" spans="1:15" ht="15" customHeight="1" x14ac:dyDescent="0.25">
      <c r="A177" s="32"/>
      <c r="B177" s="32"/>
      <c r="C177" s="32" t="s">
        <v>15</v>
      </c>
      <c r="D177" s="33"/>
      <c r="E177" s="33"/>
      <c r="F177" s="33"/>
      <c r="G177" s="33"/>
      <c r="H177" s="33"/>
      <c r="I177" s="33"/>
      <c r="J177" s="33"/>
      <c r="K177" s="32"/>
      <c r="L177" s="193" t="str">
        <f t="shared" si="11"/>
        <v/>
      </c>
      <c r="M177" s="34"/>
      <c r="N177" s="193" t="str">
        <f t="shared" si="12"/>
        <v/>
      </c>
      <c r="O177" s="32"/>
    </row>
    <row r="178" spans="1:15" ht="15" customHeight="1" x14ac:dyDescent="0.25">
      <c r="A178" s="32"/>
      <c r="B178" s="32"/>
      <c r="C178" s="32" t="s">
        <v>15</v>
      </c>
      <c r="D178" s="33"/>
      <c r="E178" s="33"/>
      <c r="F178" s="33"/>
      <c r="G178" s="33"/>
      <c r="H178" s="33"/>
      <c r="I178" s="33"/>
      <c r="J178" s="33"/>
      <c r="K178" s="32"/>
      <c r="L178" s="193" t="str">
        <f t="shared" si="11"/>
        <v/>
      </c>
      <c r="M178" s="34"/>
      <c r="N178" s="193" t="str">
        <f t="shared" si="12"/>
        <v/>
      </c>
      <c r="O178" s="32"/>
    </row>
    <row r="179" spans="1:15" ht="15" customHeight="1" x14ac:dyDescent="0.25">
      <c r="A179" s="32"/>
      <c r="B179" s="32"/>
      <c r="C179" s="32" t="s">
        <v>15</v>
      </c>
      <c r="D179" s="33"/>
      <c r="E179" s="33"/>
      <c r="F179" s="33"/>
      <c r="G179" s="33"/>
      <c r="H179" s="33"/>
      <c r="I179" s="33"/>
      <c r="J179" s="33"/>
      <c r="K179" s="32"/>
      <c r="L179" s="193" t="str">
        <f t="shared" si="11"/>
        <v/>
      </c>
      <c r="M179" s="34"/>
      <c r="N179" s="193" t="str">
        <f t="shared" si="12"/>
        <v/>
      </c>
      <c r="O179" s="32"/>
    </row>
    <row r="180" spans="1:15" ht="15" customHeight="1" x14ac:dyDescent="0.25">
      <c r="A180" s="32"/>
      <c r="B180" s="32"/>
      <c r="C180" s="32" t="s">
        <v>15</v>
      </c>
      <c r="D180" s="33"/>
      <c r="E180" s="33"/>
      <c r="F180" s="33"/>
      <c r="G180" s="33"/>
      <c r="H180" s="33"/>
      <c r="I180" s="33"/>
      <c r="J180" s="33"/>
      <c r="K180" s="32"/>
      <c r="L180" s="193" t="str">
        <f t="shared" si="11"/>
        <v/>
      </c>
      <c r="M180" s="34"/>
      <c r="N180" s="193" t="str">
        <f t="shared" si="12"/>
        <v/>
      </c>
      <c r="O180" s="32"/>
    </row>
    <row r="181" spans="1:15" ht="15" customHeight="1" x14ac:dyDescent="0.25">
      <c r="A181" s="32"/>
      <c r="B181" s="32"/>
      <c r="C181" s="32" t="s">
        <v>15</v>
      </c>
      <c r="D181" s="33"/>
      <c r="E181" s="33"/>
      <c r="F181" s="33"/>
      <c r="G181" s="33"/>
      <c r="H181" s="33"/>
      <c r="I181" s="33"/>
      <c r="J181" s="33"/>
      <c r="K181" s="32"/>
      <c r="L181" s="193" t="str">
        <f t="shared" si="11"/>
        <v/>
      </c>
      <c r="M181" s="34"/>
      <c r="N181" s="193" t="str">
        <f t="shared" si="12"/>
        <v/>
      </c>
      <c r="O181" s="32"/>
    </row>
    <row r="182" spans="1:15" ht="15" customHeight="1" x14ac:dyDescent="0.25">
      <c r="A182" s="32"/>
      <c r="B182" s="32"/>
      <c r="C182" s="32" t="s">
        <v>15</v>
      </c>
      <c r="D182" s="33"/>
      <c r="E182" s="33"/>
      <c r="F182" s="33"/>
      <c r="G182" s="33"/>
      <c r="H182" s="33"/>
      <c r="I182" s="33"/>
      <c r="J182" s="33"/>
      <c r="K182" s="32"/>
      <c r="L182" s="193" t="str">
        <f t="shared" si="11"/>
        <v/>
      </c>
      <c r="M182" s="34"/>
      <c r="N182" s="193" t="str">
        <f t="shared" si="12"/>
        <v/>
      </c>
      <c r="O182" s="32"/>
    </row>
    <row r="183" spans="1:15" ht="15" customHeight="1" x14ac:dyDescent="0.25">
      <c r="A183" s="32"/>
      <c r="B183" s="32"/>
      <c r="C183" s="32" t="s">
        <v>15</v>
      </c>
      <c r="D183" s="33"/>
      <c r="E183" s="33"/>
      <c r="F183" s="33"/>
      <c r="G183" s="33"/>
      <c r="H183" s="33"/>
      <c r="I183" s="33"/>
      <c r="J183" s="33"/>
      <c r="K183" s="32"/>
      <c r="L183" s="193" t="str">
        <f t="shared" si="11"/>
        <v/>
      </c>
      <c r="M183" s="34"/>
      <c r="N183" s="193" t="str">
        <f t="shared" si="12"/>
        <v/>
      </c>
      <c r="O183" s="32"/>
    </row>
    <row r="184" spans="1:15" ht="15" customHeight="1" x14ac:dyDescent="0.25">
      <c r="A184" s="32"/>
      <c r="B184" s="32"/>
      <c r="C184" s="32" t="s">
        <v>15</v>
      </c>
      <c r="D184" s="33"/>
      <c r="E184" s="33"/>
      <c r="F184" s="33"/>
      <c r="G184" s="33"/>
      <c r="H184" s="33"/>
      <c r="I184" s="33"/>
      <c r="J184" s="33"/>
      <c r="K184" s="32"/>
      <c r="L184" s="193" t="str">
        <f t="shared" si="11"/>
        <v/>
      </c>
      <c r="M184" s="34"/>
      <c r="N184" s="193" t="str">
        <f t="shared" si="12"/>
        <v/>
      </c>
      <c r="O184" s="32"/>
    </row>
    <row r="185" spans="1:15" ht="15" customHeight="1" x14ac:dyDescent="0.25">
      <c r="A185" s="32"/>
      <c r="B185" s="32"/>
      <c r="C185" s="32" t="s">
        <v>15</v>
      </c>
      <c r="D185" s="33"/>
      <c r="E185" s="33"/>
      <c r="F185" s="33"/>
      <c r="G185" s="33"/>
      <c r="H185" s="33"/>
      <c r="I185" s="33"/>
      <c r="J185" s="33"/>
      <c r="K185" s="32"/>
      <c r="L185" s="193" t="str">
        <f t="shared" si="11"/>
        <v/>
      </c>
      <c r="M185" s="34"/>
      <c r="N185" s="193" t="str">
        <f t="shared" si="12"/>
        <v/>
      </c>
      <c r="O185" s="32"/>
    </row>
    <row r="186" spans="1:15" ht="15" customHeight="1" x14ac:dyDescent="0.25">
      <c r="A186" s="32"/>
      <c r="B186" s="32"/>
      <c r="C186" s="32" t="s">
        <v>15</v>
      </c>
      <c r="D186" s="33"/>
      <c r="E186" s="33"/>
      <c r="F186" s="33"/>
      <c r="G186" s="33"/>
      <c r="H186" s="33"/>
      <c r="I186" s="33"/>
      <c r="J186" s="33"/>
      <c r="K186" s="32"/>
      <c r="L186" s="193" t="str">
        <f t="shared" si="11"/>
        <v/>
      </c>
      <c r="M186" s="34"/>
      <c r="N186" s="193" t="str">
        <f t="shared" si="12"/>
        <v/>
      </c>
      <c r="O186" s="32"/>
    </row>
    <row r="187" spans="1:15" ht="15" customHeight="1" x14ac:dyDescent="0.25">
      <c r="A187" s="32"/>
      <c r="B187" s="32"/>
      <c r="C187" s="32" t="s">
        <v>15</v>
      </c>
      <c r="D187" s="33"/>
      <c r="E187" s="33"/>
      <c r="F187" s="33"/>
      <c r="G187" s="33"/>
      <c r="H187" s="33"/>
      <c r="I187" s="33"/>
      <c r="J187" s="33"/>
      <c r="K187" s="32"/>
      <c r="L187" s="193" t="str">
        <f t="shared" si="11"/>
        <v/>
      </c>
      <c r="M187" s="34"/>
      <c r="N187" s="193" t="str">
        <f t="shared" si="12"/>
        <v/>
      </c>
      <c r="O187" s="32"/>
    </row>
    <row r="188" spans="1:15" ht="15" customHeight="1" x14ac:dyDescent="0.25">
      <c r="A188" s="35" t="s">
        <v>98</v>
      </c>
      <c r="B188" s="35" t="str">
        <f>COUNTIF(B129:B187,"?*")&amp;" alunos"</f>
        <v>4 alunos</v>
      </c>
      <c r="C188" s="36"/>
      <c r="D188" s="36"/>
      <c r="E188" s="36"/>
      <c r="F188" s="36"/>
      <c r="G188" s="36"/>
      <c r="H188" s="36"/>
      <c r="J188" s="36"/>
      <c r="K188" s="36"/>
      <c r="L188" s="37">
        <f>SUM(L129:L187)</f>
        <v>834000</v>
      </c>
      <c r="M188" s="36"/>
      <c r="N188" s="37">
        <f>SUM(N129:N187)</f>
        <v>834000</v>
      </c>
      <c r="O188" s="36"/>
    </row>
    <row r="189" spans="1:15" ht="15" customHeight="1" x14ac:dyDescent="0.25"/>
    <row r="190" spans="1:15" ht="19.5" customHeight="1" x14ac:dyDescent="0.25">
      <c r="A190" s="249" t="s">
        <v>112</v>
      </c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</row>
    <row r="191" spans="1:15" ht="25.5" customHeight="1" x14ac:dyDescent="0.25">
      <c r="A191" s="38" t="s">
        <v>64</v>
      </c>
      <c r="B191" s="38" t="s">
        <v>65</v>
      </c>
      <c r="C191" s="38" t="s">
        <v>66</v>
      </c>
      <c r="D191" s="38" t="s">
        <v>67</v>
      </c>
      <c r="E191" s="38" t="s">
        <v>68</v>
      </c>
      <c r="F191" s="38" t="s">
        <v>69</v>
      </c>
      <c r="G191" s="38" t="s">
        <v>70</v>
      </c>
      <c r="H191" s="38" t="s">
        <v>71</v>
      </c>
      <c r="I191" s="38" t="s">
        <v>72</v>
      </c>
      <c r="J191" s="38" t="s">
        <v>73</v>
      </c>
      <c r="K191" s="38" t="s">
        <v>74</v>
      </c>
      <c r="L191" s="38" t="s">
        <v>11</v>
      </c>
      <c r="M191" s="38" t="s">
        <v>75</v>
      </c>
      <c r="N191" s="38" t="s">
        <v>12</v>
      </c>
      <c r="O191" s="38" t="s">
        <v>76</v>
      </c>
    </row>
    <row r="192" spans="1:15" ht="15" customHeight="1" x14ac:dyDescent="0.25">
      <c r="A192" s="46" t="s">
        <v>113</v>
      </c>
      <c r="B192" s="32" t="s">
        <v>114</v>
      </c>
      <c r="C192" s="39" t="s">
        <v>16</v>
      </c>
      <c r="D192" s="40">
        <v>150000</v>
      </c>
      <c r="E192" s="40"/>
      <c r="F192" s="40"/>
      <c r="G192" s="40">
        <v>30000</v>
      </c>
      <c r="H192" s="40"/>
      <c r="I192" s="40"/>
      <c r="J192" s="40"/>
      <c r="K192" s="42"/>
      <c r="L192" s="193">
        <f t="shared" ref="L192:L206" si="13">IF(B192="","",SUM(D192:J192))</f>
        <v>180000</v>
      </c>
      <c r="M192" s="41"/>
      <c r="N192" s="193">
        <f t="shared" ref="N192:N206" si="14">IF(B192="","",L192*(1-IF(M192="",0,M192)))</f>
        <v>180000</v>
      </c>
      <c r="O192" s="32"/>
    </row>
    <row r="193" spans="1:15" ht="15" customHeight="1" x14ac:dyDescent="0.25">
      <c r="A193" s="46"/>
      <c r="B193" s="32"/>
      <c r="C193" s="39" t="s">
        <v>16</v>
      </c>
      <c r="D193" s="40"/>
      <c r="E193" s="40"/>
      <c r="F193" s="40"/>
      <c r="G193" s="40"/>
      <c r="H193" s="40"/>
      <c r="I193" s="40"/>
      <c r="J193" s="40"/>
      <c r="K193" s="42"/>
      <c r="L193" s="193" t="str">
        <f t="shared" si="13"/>
        <v/>
      </c>
      <c r="M193" s="41"/>
      <c r="N193" s="193" t="str">
        <f t="shared" si="14"/>
        <v/>
      </c>
      <c r="O193" s="32"/>
    </row>
    <row r="194" spans="1:15" ht="15" customHeight="1" x14ac:dyDescent="0.25">
      <c r="A194" s="46"/>
      <c r="B194" s="32"/>
      <c r="C194" s="39" t="s">
        <v>16</v>
      </c>
      <c r="D194" s="40"/>
      <c r="E194" s="40"/>
      <c r="F194" s="40"/>
      <c r="G194" s="40"/>
      <c r="H194" s="40"/>
      <c r="I194" s="40"/>
      <c r="J194" s="40"/>
      <c r="K194" s="42"/>
      <c r="L194" s="193" t="str">
        <f t="shared" si="13"/>
        <v/>
      </c>
      <c r="M194" s="41"/>
      <c r="N194" s="193" t="str">
        <f t="shared" si="14"/>
        <v/>
      </c>
      <c r="O194" s="32"/>
    </row>
    <row r="195" spans="1:15" ht="15" customHeight="1" x14ac:dyDescent="0.25">
      <c r="A195" s="46"/>
      <c r="B195" s="32"/>
      <c r="C195" s="39" t="s">
        <v>16</v>
      </c>
      <c r="D195" s="40"/>
      <c r="E195" s="40"/>
      <c r="F195" s="40"/>
      <c r="G195" s="40"/>
      <c r="H195" s="40"/>
      <c r="I195" s="40"/>
      <c r="J195" s="40"/>
      <c r="K195" s="42"/>
      <c r="L195" s="193" t="str">
        <f t="shared" si="13"/>
        <v/>
      </c>
      <c r="M195" s="41"/>
      <c r="N195" s="193" t="str">
        <f t="shared" si="14"/>
        <v/>
      </c>
      <c r="O195" s="32"/>
    </row>
    <row r="196" spans="1:15" ht="15" customHeight="1" x14ac:dyDescent="0.25">
      <c r="A196" s="46"/>
      <c r="B196" s="32"/>
      <c r="C196" s="39" t="s">
        <v>16</v>
      </c>
      <c r="D196" s="40"/>
      <c r="E196" s="40"/>
      <c r="F196" s="40"/>
      <c r="G196" s="40"/>
      <c r="H196" s="40"/>
      <c r="I196" s="40"/>
      <c r="J196" s="40"/>
      <c r="K196" s="42"/>
      <c r="L196" s="193" t="str">
        <f t="shared" si="13"/>
        <v/>
      </c>
      <c r="M196" s="41"/>
      <c r="N196" s="193" t="str">
        <f t="shared" si="14"/>
        <v/>
      </c>
      <c r="O196" s="32"/>
    </row>
    <row r="197" spans="1:15" ht="15" customHeight="1" x14ac:dyDescent="0.25">
      <c r="A197" s="46"/>
      <c r="B197" s="32"/>
      <c r="C197" s="39" t="s">
        <v>16</v>
      </c>
      <c r="D197" s="40"/>
      <c r="E197" s="40"/>
      <c r="F197" s="40"/>
      <c r="G197" s="40"/>
      <c r="H197" s="40"/>
      <c r="I197" s="40"/>
      <c r="J197" s="40"/>
      <c r="K197" s="42"/>
      <c r="L197" s="193" t="str">
        <f t="shared" si="13"/>
        <v/>
      </c>
      <c r="M197" s="41"/>
      <c r="N197" s="193" t="str">
        <f t="shared" si="14"/>
        <v/>
      </c>
      <c r="O197" s="32"/>
    </row>
    <row r="198" spans="1:15" ht="15" customHeight="1" x14ac:dyDescent="0.25">
      <c r="A198" s="46"/>
      <c r="B198" s="32"/>
      <c r="C198" s="39" t="s">
        <v>16</v>
      </c>
      <c r="D198" s="40"/>
      <c r="E198" s="40"/>
      <c r="F198" s="40"/>
      <c r="G198" s="40"/>
      <c r="H198" s="40"/>
      <c r="I198" s="40"/>
      <c r="J198" s="40"/>
      <c r="K198" s="42"/>
      <c r="L198" s="193" t="str">
        <f t="shared" si="13"/>
        <v/>
      </c>
      <c r="M198" s="41"/>
      <c r="N198" s="193" t="str">
        <f t="shared" si="14"/>
        <v/>
      </c>
      <c r="O198" s="32"/>
    </row>
    <row r="199" spans="1:15" ht="15" customHeight="1" x14ac:dyDescent="0.25">
      <c r="A199" s="46"/>
      <c r="B199" s="32"/>
      <c r="C199" s="39" t="s">
        <v>16</v>
      </c>
      <c r="D199" s="40"/>
      <c r="E199" s="40"/>
      <c r="F199" s="40"/>
      <c r="G199" s="40"/>
      <c r="H199" s="40"/>
      <c r="I199" s="40"/>
      <c r="J199" s="40"/>
      <c r="K199" s="42"/>
      <c r="L199" s="193" t="str">
        <f t="shared" si="13"/>
        <v/>
      </c>
      <c r="M199" s="41"/>
      <c r="N199" s="193" t="str">
        <f t="shared" si="14"/>
        <v/>
      </c>
      <c r="O199" s="32"/>
    </row>
    <row r="200" spans="1:15" ht="15" customHeight="1" x14ac:dyDescent="0.25">
      <c r="A200" s="46"/>
      <c r="B200" s="32"/>
      <c r="C200" s="39" t="s">
        <v>16</v>
      </c>
      <c r="D200" s="40"/>
      <c r="E200" s="40"/>
      <c r="F200" s="40"/>
      <c r="G200" s="40"/>
      <c r="H200" s="40"/>
      <c r="I200" s="40"/>
      <c r="J200" s="40"/>
      <c r="K200" s="42"/>
      <c r="L200" s="193" t="str">
        <f t="shared" si="13"/>
        <v/>
      </c>
      <c r="M200" s="41"/>
      <c r="N200" s="193" t="str">
        <f t="shared" si="14"/>
        <v/>
      </c>
      <c r="O200" s="32"/>
    </row>
    <row r="201" spans="1:15" ht="15" customHeight="1" x14ac:dyDescent="0.25">
      <c r="A201" s="46"/>
      <c r="B201" s="32"/>
      <c r="C201" s="39" t="s">
        <v>16</v>
      </c>
      <c r="D201" s="40"/>
      <c r="E201" s="40"/>
      <c r="F201" s="40"/>
      <c r="G201" s="40"/>
      <c r="H201" s="40"/>
      <c r="I201" s="40"/>
      <c r="J201" s="40"/>
      <c r="K201" s="42"/>
      <c r="L201" s="193" t="str">
        <f t="shared" si="13"/>
        <v/>
      </c>
      <c r="M201" s="41"/>
      <c r="N201" s="193" t="str">
        <f t="shared" si="14"/>
        <v/>
      </c>
      <c r="O201" s="32"/>
    </row>
    <row r="202" spans="1:15" ht="15" customHeight="1" x14ac:dyDescent="0.25">
      <c r="A202" s="46"/>
      <c r="B202" s="32"/>
      <c r="C202" s="39" t="s">
        <v>16</v>
      </c>
      <c r="D202" s="40"/>
      <c r="E202" s="40"/>
      <c r="F202" s="40"/>
      <c r="G202" s="40"/>
      <c r="H202" s="40"/>
      <c r="I202" s="40"/>
      <c r="J202" s="40"/>
      <c r="K202" s="42"/>
      <c r="L202" s="193" t="str">
        <f t="shared" si="13"/>
        <v/>
      </c>
      <c r="M202" s="41"/>
      <c r="N202" s="193" t="str">
        <f t="shared" si="14"/>
        <v/>
      </c>
      <c r="O202" s="32"/>
    </row>
    <row r="203" spans="1:15" ht="15" customHeight="1" x14ac:dyDescent="0.25">
      <c r="A203" s="46"/>
      <c r="B203" s="32"/>
      <c r="C203" s="39" t="s">
        <v>16</v>
      </c>
      <c r="D203" s="40"/>
      <c r="E203" s="40"/>
      <c r="F203" s="40"/>
      <c r="G203" s="40"/>
      <c r="H203" s="40"/>
      <c r="I203" s="40"/>
      <c r="J203" s="40"/>
      <c r="K203" s="42"/>
      <c r="L203" s="193" t="str">
        <f t="shared" si="13"/>
        <v/>
      </c>
      <c r="M203" s="41"/>
      <c r="N203" s="193" t="str">
        <f t="shared" si="14"/>
        <v/>
      </c>
      <c r="O203" s="32"/>
    </row>
    <row r="204" spans="1:15" ht="15" customHeight="1" x14ac:dyDescent="0.25">
      <c r="A204" s="46"/>
      <c r="B204" s="32"/>
      <c r="C204" s="39" t="s">
        <v>16</v>
      </c>
      <c r="D204" s="40"/>
      <c r="E204" s="40"/>
      <c r="F204" s="40"/>
      <c r="G204" s="40"/>
      <c r="H204" s="40"/>
      <c r="I204" s="40"/>
      <c r="J204" s="40"/>
      <c r="K204" s="42"/>
      <c r="L204" s="193" t="str">
        <f t="shared" si="13"/>
        <v/>
      </c>
      <c r="M204" s="41"/>
      <c r="N204" s="193" t="str">
        <f t="shared" si="14"/>
        <v/>
      </c>
      <c r="O204" s="32"/>
    </row>
    <row r="205" spans="1:15" ht="15" customHeight="1" x14ac:dyDescent="0.25">
      <c r="A205" s="46"/>
      <c r="B205" s="32"/>
      <c r="C205" s="39" t="s">
        <v>16</v>
      </c>
      <c r="D205" s="40"/>
      <c r="E205" s="40"/>
      <c r="F205" s="40"/>
      <c r="G205" s="40"/>
      <c r="H205" s="40"/>
      <c r="I205" s="40"/>
      <c r="J205" s="40"/>
      <c r="K205" s="42"/>
      <c r="L205" s="193" t="str">
        <f t="shared" si="13"/>
        <v/>
      </c>
      <c r="M205" s="41"/>
      <c r="N205" s="193" t="str">
        <f t="shared" si="14"/>
        <v/>
      </c>
      <c r="O205" s="32"/>
    </row>
    <row r="206" spans="1:15" ht="15" customHeight="1" x14ac:dyDescent="0.25">
      <c r="A206" s="46"/>
      <c r="B206" s="32"/>
      <c r="C206" s="39" t="s">
        <v>16</v>
      </c>
      <c r="D206" s="40"/>
      <c r="E206" s="40"/>
      <c r="F206" s="40"/>
      <c r="G206" s="40"/>
      <c r="H206" s="40"/>
      <c r="I206" s="40"/>
      <c r="J206" s="40"/>
      <c r="K206" s="42"/>
      <c r="L206" s="193" t="str">
        <f t="shared" si="13"/>
        <v/>
      </c>
      <c r="M206" s="41"/>
      <c r="N206" s="193" t="str">
        <f t="shared" si="14"/>
        <v/>
      </c>
      <c r="O206" s="32"/>
    </row>
    <row r="207" spans="1:15" ht="15" customHeight="1" x14ac:dyDescent="0.25">
      <c r="A207" s="43" t="s">
        <v>98</v>
      </c>
      <c r="B207" s="43" t="str">
        <f>COUNTIF(B192:B206,"?*")&amp;" alunos"</f>
        <v>1 alunos</v>
      </c>
      <c r="C207" s="36"/>
      <c r="D207" s="36"/>
      <c r="E207" s="36"/>
      <c r="F207" s="36"/>
      <c r="G207" s="36"/>
      <c r="H207" s="36"/>
      <c r="J207" s="36"/>
      <c r="K207" s="36"/>
      <c r="L207" s="44">
        <f>SUM(L192:L206)</f>
        <v>180000</v>
      </c>
      <c r="M207" s="36"/>
      <c r="N207" s="44">
        <f>SUM(N192:N206)</f>
        <v>180000</v>
      </c>
      <c r="O207" s="36"/>
    </row>
    <row r="208" spans="1:15" ht="15" customHeight="1" x14ac:dyDescent="0.25">
      <c r="A208" s="47" t="s">
        <v>115</v>
      </c>
    </row>
    <row r="209" spans="1:15" ht="15" customHeight="1" x14ac:dyDescent="0.25">
      <c r="A209" s="31" t="s">
        <v>64</v>
      </c>
      <c r="B209" s="31" t="s">
        <v>65</v>
      </c>
      <c r="C209" s="31" t="s">
        <v>66</v>
      </c>
      <c r="D209" s="31" t="s">
        <v>67</v>
      </c>
      <c r="E209" s="31" t="s">
        <v>68</v>
      </c>
      <c r="F209" s="31" t="s">
        <v>69</v>
      </c>
      <c r="G209" s="31" t="s">
        <v>70</v>
      </c>
      <c r="H209" s="31" t="s">
        <v>71</v>
      </c>
      <c r="I209" s="31" t="s">
        <v>72</v>
      </c>
      <c r="J209" s="31" t="s">
        <v>73</v>
      </c>
      <c r="K209" s="31" t="s">
        <v>74</v>
      </c>
      <c r="L209" s="31" t="s">
        <v>11</v>
      </c>
      <c r="M209" s="31" t="s">
        <v>75</v>
      </c>
      <c r="N209" s="31" t="s">
        <v>12</v>
      </c>
      <c r="O209" s="31" t="s">
        <v>76</v>
      </c>
    </row>
    <row r="210" spans="1:15" ht="15" customHeight="1" x14ac:dyDescent="0.25">
      <c r="A210" s="32" t="s">
        <v>116</v>
      </c>
      <c r="B210" s="32" t="s">
        <v>117</v>
      </c>
      <c r="C210" s="32" t="s">
        <v>17</v>
      </c>
      <c r="D210" s="33">
        <v>150000</v>
      </c>
      <c r="E210" s="33"/>
      <c r="F210" s="33"/>
      <c r="G210" s="33">
        <v>30000</v>
      </c>
      <c r="H210" s="33"/>
      <c r="I210" s="33"/>
      <c r="J210" s="33"/>
      <c r="K210" s="192">
        <v>46229</v>
      </c>
      <c r="L210" s="193">
        <f t="shared" ref="L210:L248" si="15">IF(B210="","",SUM(D210:J210))</f>
        <v>180000</v>
      </c>
      <c r="M210" s="34">
        <v>0.1</v>
      </c>
      <c r="N210" s="193">
        <f t="shared" ref="N210:N248" si="16">IF(B210="","",L210*(1-IF(M210="",0,M210)))</f>
        <v>162000</v>
      </c>
      <c r="O210" s="32"/>
    </row>
    <row r="211" spans="1:15" ht="15" customHeight="1" x14ac:dyDescent="0.25">
      <c r="A211" s="32"/>
      <c r="B211" s="32"/>
      <c r="C211" s="32" t="s">
        <v>17</v>
      </c>
      <c r="D211" s="33"/>
      <c r="E211" s="33"/>
      <c r="F211" s="33"/>
      <c r="G211" s="33"/>
      <c r="H211" s="33"/>
      <c r="I211" s="33"/>
      <c r="J211" s="33"/>
      <c r="K211" s="32"/>
      <c r="L211" s="193" t="str">
        <f t="shared" si="15"/>
        <v/>
      </c>
      <c r="M211" s="34"/>
      <c r="N211" s="193" t="str">
        <f t="shared" si="16"/>
        <v/>
      </c>
      <c r="O211" s="32"/>
    </row>
    <row r="212" spans="1:15" ht="15" customHeight="1" x14ac:dyDescent="0.25">
      <c r="A212" s="32"/>
      <c r="B212" s="32"/>
      <c r="C212" s="32" t="s">
        <v>17</v>
      </c>
      <c r="D212" s="33"/>
      <c r="E212" s="33"/>
      <c r="F212" s="33"/>
      <c r="G212" s="33"/>
      <c r="H212" s="33"/>
      <c r="I212" s="33"/>
      <c r="J212" s="33"/>
      <c r="K212" s="32"/>
      <c r="L212" s="193" t="str">
        <f t="shared" si="15"/>
        <v/>
      </c>
      <c r="M212" s="34"/>
      <c r="N212" s="193" t="str">
        <f t="shared" si="16"/>
        <v/>
      </c>
      <c r="O212" s="32"/>
    </row>
    <row r="213" spans="1:15" ht="15" customHeight="1" x14ac:dyDescent="0.25">
      <c r="A213" s="32"/>
      <c r="B213" s="32"/>
      <c r="C213" s="32" t="s">
        <v>17</v>
      </c>
      <c r="D213" s="33"/>
      <c r="E213" s="33"/>
      <c r="F213" s="33"/>
      <c r="G213" s="33"/>
      <c r="H213" s="33"/>
      <c r="I213" s="33"/>
      <c r="J213" s="33"/>
      <c r="K213" s="32"/>
      <c r="L213" s="193" t="str">
        <f t="shared" si="15"/>
        <v/>
      </c>
      <c r="M213" s="34"/>
      <c r="N213" s="193" t="str">
        <f t="shared" si="16"/>
        <v/>
      </c>
      <c r="O213" s="32"/>
    </row>
    <row r="214" spans="1:15" ht="15" customHeight="1" x14ac:dyDescent="0.25">
      <c r="A214" s="32"/>
      <c r="B214" s="32"/>
      <c r="C214" s="32" t="s">
        <v>17</v>
      </c>
      <c r="D214" s="33"/>
      <c r="E214" s="33"/>
      <c r="F214" s="33"/>
      <c r="G214" s="33"/>
      <c r="H214" s="33"/>
      <c r="I214" s="33"/>
      <c r="J214" s="33"/>
      <c r="K214" s="32"/>
      <c r="L214" s="193" t="str">
        <f t="shared" si="15"/>
        <v/>
      </c>
      <c r="M214" s="34"/>
      <c r="N214" s="193" t="str">
        <f t="shared" si="16"/>
        <v/>
      </c>
      <c r="O214" s="32"/>
    </row>
    <row r="215" spans="1:15" x14ac:dyDescent="0.25">
      <c r="A215" s="32"/>
      <c r="B215" s="32"/>
      <c r="C215" s="32" t="s">
        <v>17</v>
      </c>
      <c r="D215" s="33"/>
      <c r="E215" s="33"/>
      <c r="F215" s="33"/>
      <c r="G215" s="33"/>
      <c r="H215" s="33"/>
      <c r="I215" s="33"/>
      <c r="J215" s="33"/>
      <c r="K215" s="32"/>
      <c r="L215" s="193" t="str">
        <f t="shared" si="15"/>
        <v/>
      </c>
      <c r="M215" s="34"/>
      <c r="N215" s="193" t="str">
        <f t="shared" si="16"/>
        <v/>
      </c>
      <c r="O215" s="32"/>
    </row>
    <row r="216" spans="1:15" ht="17.25" customHeight="1" x14ac:dyDescent="0.25">
      <c r="A216" s="32"/>
      <c r="B216" s="32"/>
      <c r="C216" s="32" t="s">
        <v>17</v>
      </c>
      <c r="D216" s="33"/>
      <c r="E216" s="33"/>
      <c r="F216" s="33"/>
      <c r="G216" s="33"/>
      <c r="H216" s="33"/>
      <c r="I216" s="33"/>
      <c r="J216" s="33"/>
      <c r="K216" s="32"/>
      <c r="L216" s="193" t="str">
        <f t="shared" si="15"/>
        <v/>
      </c>
      <c r="M216" s="34"/>
      <c r="N216" s="193" t="str">
        <f t="shared" si="16"/>
        <v/>
      </c>
      <c r="O216" s="32"/>
    </row>
    <row r="217" spans="1:15" ht="15" customHeight="1" x14ac:dyDescent="0.25">
      <c r="A217" s="32"/>
      <c r="B217" s="32"/>
      <c r="C217" s="32" t="s">
        <v>17</v>
      </c>
      <c r="D217" s="33"/>
      <c r="E217" s="33"/>
      <c r="F217" s="33"/>
      <c r="G217" s="33"/>
      <c r="H217" s="33"/>
      <c r="I217" s="33"/>
      <c r="J217" s="33"/>
      <c r="K217" s="32"/>
      <c r="L217" s="193" t="str">
        <f t="shared" si="15"/>
        <v/>
      </c>
      <c r="M217" s="34"/>
      <c r="N217" s="193" t="str">
        <f t="shared" si="16"/>
        <v/>
      </c>
      <c r="O217" s="32"/>
    </row>
    <row r="218" spans="1:15" ht="15" customHeight="1" x14ac:dyDescent="0.25">
      <c r="A218" s="32"/>
      <c r="B218" s="32"/>
      <c r="C218" s="32" t="s">
        <v>17</v>
      </c>
      <c r="D218" s="33"/>
      <c r="E218" s="33"/>
      <c r="F218" s="33"/>
      <c r="G218" s="33"/>
      <c r="H218" s="33"/>
      <c r="I218" s="33"/>
      <c r="J218" s="33"/>
      <c r="K218" s="32"/>
      <c r="L218" s="193" t="str">
        <f t="shared" si="15"/>
        <v/>
      </c>
      <c r="M218" s="34"/>
      <c r="N218" s="193" t="str">
        <f t="shared" si="16"/>
        <v/>
      </c>
      <c r="O218" s="32"/>
    </row>
    <row r="219" spans="1:15" ht="15" customHeight="1" x14ac:dyDescent="0.25">
      <c r="A219" s="32"/>
      <c r="B219" s="32"/>
      <c r="C219" s="32" t="s">
        <v>17</v>
      </c>
      <c r="D219" s="33"/>
      <c r="E219" s="33"/>
      <c r="F219" s="33"/>
      <c r="G219" s="33"/>
      <c r="H219" s="33"/>
      <c r="I219" s="33"/>
      <c r="J219" s="33"/>
      <c r="K219" s="32"/>
      <c r="L219" s="193" t="str">
        <f t="shared" si="15"/>
        <v/>
      </c>
      <c r="M219" s="34"/>
      <c r="N219" s="193" t="str">
        <f t="shared" si="16"/>
        <v/>
      </c>
      <c r="O219" s="32"/>
    </row>
    <row r="220" spans="1:15" ht="15" customHeight="1" x14ac:dyDescent="0.25">
      <c r="A220" s="32"/>
      <c r="B220" s="32"/>
      <c r="C220" s="32" t="s">
        <v>17</v>
      </c>
      <c r="D220" s="33"/>
      <c r="E220" s="33"/>
      <c r="F220" s="33"/>
      <c r="G220" s="33"/>
      <c r="H220" s="33"/>
      <c r="I220" s="33"/>
      <c r="J220" s="33"/>
      <c r="K220" s="32"/>
      <c r="L220" s="193" t="str">
        <f t="shared" si="15"/>
        <v/>
      </c>
      <c r="M220" s="34"/>
      <c r="N220" s="193" t="str">
        <f t="shared" si="16"/>
        <v/>
      </c>
      <c r="O220" s="32"/>
    </row>
    <row r="221" spans="1:15" ht="15" customHeight="1" x14ac:dyDescent="0.25">
      <c r="A221" s="32"/>
      <c r="B221" s="32"/>
      <c r="C221" s="32" t="s">
        <v>17</v>
      </c>
      <c r="D221" s="33"/>
      <c r="E221" s="33"/>
      <c r="F221" s="33"/>
      <c r="G221" s="33"/>
      <c r="H221" s="33"/>
      <c r="I221" s="33"/>
      <c r="J221" s="33"/>
      <c r="K221" s="32"/>
      <c r="L221" s="193" t="str">
        <f t="shared" si="15"/>
        <v/>
      </c>
      <c r="M221" s="34"/>
      <c r="N221" s="193" t="str">
        <f t="shared" si="16"/>
        <v/>
      </c>
      <c r="O221" s="32"/>
    </row>
    <row r="222" spans="1:15" ht="15" customHeight="1" x14ac:dyDescent="0.25">
      <c r="A222" s="32"/>
      <c r="B222" s="32"/>
      <c r="C222" s="32" t="s">
        <v>17</v>
      </c>
      <c r="D222" s="33"/>
      <c r="E222" s="33"/>
      <c r="F222" s="33"/>
      <c r="G222" s="33"/>
      <c r="H222" s="33"/>
      <c r="I222" s="33"/>
      <c r="J222" s="33"/>
      <c r="K222" s="32"/>
      <c r="L222" s="193" t="str">
        <f t="shared" si="15"/>
        <v/>
      </c>
      <c r="M222" s="34"/>
      <c r="N222" s="193" t="str">
        <f t="shared" si="16"/>
        <v/>
      </c>
      <c r="O222" s="32"/>
    </row>
    <row r="223" spans="1:15" ht="15" customHeight="1" x14ac:dyDescent="0.25">
      <c r="A223" s="32"/>
      <c r="B223" s="32"/>
      <c r="C223" s="32" t="s">
        <v>17</v>
      </c>
      <c r="D223" s="33"/>
      <c r="E223" s="33"/>
      <c r="F223" s="33"/>
      <c r="G223" s="33"/>
      <c r="H223" s="33"/>
      <c r="I223" s="33"/>
      <c r="J223" s="33"/>
      <c r="K223" s="32"/>
      <c r="L223" s="193" t="str">
        <f t="shared" si="15"/>
        <v/>
      </c>
      <c r="M223" s="34"/>
      <c r="N223" s="193" t="str">
        <f t="shared" si="16"/>
        <v/>
      </c>
      <c r="O223" s="32"/>
    </row>
    <row r="224" spans="1:15" ht="15" customHeight="1" x14ac:dyDescent="0.25">
      <c r="A224" s="32"/>
      <c r="B224" s="32"/>
      <c r="C224" s="32" t="s">
        <v>17</v>
      </c>
      <c r="D224" s="33"/>
      <c r="E224" s="33"/>
      <c r="F224" s="33"/>
      <c r="G224" s="33"/>
      <c r="H224" s="33"/>
      <c r="I224" s="33"/>
      <c r="J224" s="33"/>
      <c r="K224" s="32"/>
      <c r="L224" s="193" t="str">
        <f t="shared" si="15"/>
        <v/>
      </c>
      <c r="M224" s="34"/>
      <c r="N224" s="193" t="str">
        <f t="shared" si="16"/>
        <v/>
      </c>
      <c r="O224" s="32"/>
    </row>
    <row r="225" spans="1:15" ht="15" customHeight="1" x14ac:dyDescent="0.25">
      <c r="A225" s="32"/>
      <c r="B225" s="32"/>
      <c r="C225" s="32" t="s">
        <v>17</v>
      </c>
      <c r="D225" s="33"/>
      <c r="E225" s="33"/>
      <c r="F225" s="33"/>
      <c r="G225" s="33"/>
      <c r="H225" s="33"/>
      <c r="I225" s="33"/>
      <c r="J225" s="33"/>
      <c r="K225" s="32"/>
      <c r="L225" s="193" t="str">
        <f t="shared" si="15"/>
        <v/>
      </c>
      <c r="M225" s="34"/>
      <c r="N225" s="193" t="str">
        <f t="shared" si="16"/>
        <v/>
      </c>
      <c r="O225" s="32"/>
    </row>
    <row r="226" spans="1:15" ht="15" customHeight="1" x14ac:dyDescent="0.25">
      <c r="A226" s="32"/>
      <c r="B226" s="32"/>
      <c r="C226" s="32" t="s">
        <v>17</v>
      </c>
      <c r="D226" s="33"/>
      <c r="E226" s="33"/>
      <c r="F226" s="33"/>
      <c r="G226" s="33"/>
      <c r="H226" s="33"/>
      <c r="I226" s="33"/>
      <c r="J226" s="33"/>
      <c r="K226" s="32"/>
      <c r="L226" s="193" t="str">
        <f t="shared" si="15"/>
        <v/>
      </c>
      <c r="M226" s="34"/>
      <c r="N226" s="193" t="str">
        <f t="shared" si="16"/>
        <v/>
      </c>
      <c r="O226" s="32"/>
    </row>
    <row r="227" spans="1:15" ht="15" customHeight="1" x14ac:dyDescent="0.25">
      <c r="A227" s="32"/>
      <c r="B227" s="32"/>
      <c r="C227" s="32" t="s">
        <v>17</v>
      </c>
      <c r="D227" s="33"/>
      <c r="E227" s="33"/>
      <c r="F227" s="33"/>
      <c r="G227" s="33"/>
      <c r="H227" s="33"/>
      <c r="I227" s="33"/>
      <c r="J227" s="33"/>
      <c r="K227" s="32"/>
      <c r="L227" s="193" t="str">
        <f t="shared" si="15"/>
        <v/>
      </c>
      <c r="M227" s="34"/>
      <c r="N227" s="193" t="str">
        <f t="shared" si="16"/>
        <v/>
      </c>
      <c r="O227" s="32"/>
    </row>
    <row r="228" spans="1:15" ht="15" customHeight="1" x14ac:dyDescent="0.25">
      <c r="A228" s="32"/>
      <c r="B228" s="32"/>
      <c r="C228" s="32" t="s">
        <v>17</v>
      </c>
      <c r="D228" s="33"/>
      <c r="E228" s="33"/>
      <c r="F228" s="33"/>
      <c r="G228" s="33"/>
      <c r="H228" s="33"/>
      <c r="I228" s="33"/>
      <c r="J228" s="33"/>
      <c r="K228" s="32"/>
      <c r="L228" s="193" t="str">
        <f t="shared" si="15"/>
        <v/>
      </c>
      <c r="M228" s="34"/>
      <c r="N228" s="193" t="str">
        <f t="shared" si="16"/>
        <v/>
      </c>
      <c r="O228" s="32"/>
    </row>
    <row r="229" spans="1:15" ht="15" customHeight="1" x14ac:dyDescent="0.25">
      <c r="A229" s="32"/>
      <c r="B229" s="32"/>
      <c r="C229" s="32" t="s">
        <v>17</v>
      </c>
      <c r="D229" s="33"/>
      <c r="E229" s="33"/>
      <c r="F229" s="33"/>
      <c r="G229" s="33"/>
      <c r="H229" s="33"/>
      <c r="I229" s="33"/>
      <c r="J229" s="33"/>
      <c r="K229" s="32"/>
      <c r="L229" s="193" t="str">
        <f t="shared" si="15"/>
        <v/>
      </c>
      <c r="M229" s="34"/>
      <c r="N229" s="193" t="str">
        <f t="shared" si="16"/>
        <v/>
      </c>
      <c r="O229" s="32"/>
    </row>
    <row r="230" spans="1:15" ht="15" customHeight="1" x14ac:dyDescent="0.25">
      <c r="A230" s="32"/>
      <c r="B230" s="32"/>
      <c r="C230" s="32" t="s">
        <v>17</v>
      </c>
      <c r="D230" s="33"/>
      <c r="E230" s="33"/>
      <c r="F230" s="33"/>
      <c r="G230" s="33"/>
      <c r="H230" s="33"/>
      <c r="I230" s="33"/>
      <c r="J230" s="33"/>
      <c r="K230" s="32"/>
      <c r="L230" s="193" t="str">
        <f t="shared" si="15"/>
        <v/>
      </c>
      <c r="M230" s="34"/>
      <c r="N230" s="193" t="str">
        <f t="shared" si="16"/>
        <v/>
      </c>
      <c r="O230" s="32"/>
    </row>
    <row r="231" spans="1:15" ht="15" customHeight="1" x14ac:dyDescent="0.25">
      <c r="A231" s="32"/>
      <c r="B231" s="32"/>
      <c r="C231" s="32" t="s">
        <v>17</v>
      </c>
      <c r="D231" s="33"/>
      <c r="E231" s="33"/>
      <c r="F231" s="33"/>
      <c r="G231" s="33"/>
      <c r="H231" s="33"/>
      <c r="I231" s="33"/>
      <c r="J231" s="33"/>
      <c r="K231" s="32"/>
      <c r="L231" s="193" t="str">
        <f t="shared" si="15"/>
        <v/>
      </c>
      <c r="M231" s="34"/>
      <c r="N231" s="193" t="str">
        <f t="shared" si="16"/>
        <v/>
      </c>
      <c r="O231" s="32"/>
    </row>
    <row r="232" spans="1:15" ht="15" customHeight="1" x14ac:dyDescent="0.25">
      <c r="A232" s="32"/>
      <c r="B232" s="32"/>
      <c r="C232" s="32" t="s">
        <v>17</v>
      </c>
      <c r="D232" s="33"/>
      <c r="E232" s="33"/>
      <c r="F232" s="33"/>
      <c r="G232" s="33"/>
      <c r="H232" s="33"/>
      <c r="I232" s="33"/>
      <c r="J232" s="33"/>
      <c r="K232" s="32"/>
      <c r="L232" s="193" t="str">
        <f t="shared" si="15"/>
        <v/>
      </c>
      <c r="M232" s="34"/>
      <c r="N232" s="193" t="str">
        <f t="shared" si="16"/>
        <v/>
      </c>
      <c r="O232" s="32"/>
    </row>
    <row r="233" spans="1:15" ht="15" customHeight="1" x14ac:dyDescent="0.25">
      <c r="A233" s="32"/>
      <c r="B233" s="32"/>
      <c r="C233" s="32" t="s">
        <v>17</v>
      </c>
      <c r="D233" s="33"/>
      <c r="E233" s="33"/>
      <c r="F233" s="33"/>
      <c r="G233" s="33"/>
      <c r="H233" s="33"/>
      <c r="I233" s="33"/>
      <c r="J233" s="33"/>
      <c r="K233" s="32"/>
      <c r="L233" s="193" t="str">
        <f t="shared" si="15"/>
        <v/>
      </c>
      <c r="M233" s="34"/>
      <c r="N233" s="193" t="str">
        <f t="shared" si="16"/>
        <v/>
      </c>
      <c r="O233" s="32"/>
    </row>
    <row r="234" spans="1:15" ht="15" customHeight="1" x14ac:dyDescent="0.25">
      <c r="A234" s="32"/>
      <c r="B234" s="32"/>
      <c r="C234" s="32" t="s">
        <v>17</v>
      </c>
      <c r="D234" s="33"/>
      <c r="E234" s="33"/>
      <c r="F234" s="33"/>
      <c r="G234" s="33"/>
      <c r="H234" s="33"/>
      <c r="I234" s="33"/>
      <c r="J234" s="33"/>
      <c r="K234" s="32"/>
      <c r="L234" s="193" t="str">
        <f t="shared" si="15"/>
        <v/>
      </c>
      <c r="M234" s="34"/>
      <c r="N234" s="193" t="str">
        <f t="shared" si="16"/>
        <v/>
      </c>
      <c r="O234" s="32"/>
    </row>
    <row r="235" spans="1:15" ht="15" customHeight="1" x14ac:dyDescent="0.25">
      <c r="A235" s="32"/>
      <c r="B235" s="32"/>
      <c r="C235" s="32" t="s">
        <v>17</v>
      </c>
      <c r="D235" s="33"/>
      <c r="E235" s="33"/>
      <c r="F235" s="33"/>
      <c r="G235" s="33"/>
      <c r="H235" s="33"/>
      <c r="I235" s="33"/>
      <c r="J235" s="33"/>
      <c r="K235" s="32"/>
      <c r="L235" s="193" t="str">
        <f t="shared" si="15"/>
        <v/>
      </c>
      <c r="M235" s="34"/>
      <c r="N235" s="193" t="str">
        <f t="shared" si="16"/>
        <v/>
      </c>
      <c r="O235" s="32"/>
    </row>
    <row r="236" spans="1:15" ht="15" customHeight="1" x14ac:dyDescent="0.25">
      <c r="A236" s="32"/>
      <c r="B236" s="32"/>
      <c r="C236" s="32" t="s">
        <v>17</v>
      </c>
      <c r="D236" s="33"/>
      <c r="E236" s="33"/>
      <c r="F236" s="33"/>
      <c r="G236" s="33"/>
      <c r="H236" s="33"/>
      <c r="I236" s="33"/>
      <c r="J236" s="33"/>
      <c r="K236" s="32"/>
      <c r="L236" s="193" t="str">
        <f t="shared" si="15"/>
        <v/>
      </c>
      <c r="M236" s="34"/>
      <c r="N236" s="193" t="str">
        <f t="shared" si="16"/>
        <v/>
      </c>
      <c r="O236" s="32"/>
    </row>
    <row r="237" spans="1:15" ht="15" customHeight="1" x14ac:dyDescent="0.25">
      <c r="A237" s="32"/>
      <c r="B237" s="32"/>
      <c r="C237" s="32" t="s">
        <v>17</v>
      </c>
      <c r="D237" s="33"/>
      <c r="E237" s="33"/>
      <c r="F237" s="33"/>
      <c r="G237" s="33"/>
      <c r="H237" s="33"/>
      <c r="I237" s="33"/>
      <c r="J237" s="33"/>
      <c r="K237" s="32"/>
      <c r="L237" s="193" t="str">
        <f t="shared" si="15"/>
        <v/>
      </c>
      <c r="M237" s="34"/>
      <c r="N237" s="193" t="str">
        <f t="shared" si="16"/>
        <v/>
      </c>
      <c r="O237" s="32"/>
    </row>
    <row r="238" spans="1:15" ht="15" customHeight="1" x14ac:dyDescent="0.25">
      <c r="A238" s="32"/>
      <c r="B238" s="32"/>
      <c r="C238" s="32" t="s">
        <v>17</v>
      </c>
      <c r="D238" s="33"/>
      <c r="E238" s="33"/>
      <c r="F238" s="33"/>
      <c r="G238" s="33"/>
      <c r="H238" s="33"/>
      <c r="I238" s="33"/>
      <c r="J238" s="33"/>
      <c r="K238" s="32"/>
      <c r="L238" s="193" t="str">
        <f t="shared" si="15"/>
        <v/>
      </c>
      <c r="M238" s="34"/>
      <c r="N238" s="193" t="str">
        <f t="shared" si="16"/>
        <v/>
      </c>
      <c r="O238" s="32"/>
    </row>
    <row r="239" spans="1:15" ht="15" customHeight="1" x14ac:dyDescent="0.25">
      <c r="A239" s="32"/>
      <c r="B239" s="32"/>
      <c r="C239" s="32" t="s">
        <v>17</v>
      </c>
      <c r="D239" s="33"/>
      <c r="E239" s="33"/>
      <c r="F239" s="33"/>
      <c r="G239" s="33"/>
      <c r="H239" s="33"/>
      <c r="I239" s="33"/>
      <c r="J239" s="33"/>
      <c r="K239" s="32"/>
      <c r="L239" s="193" t="str">
        <f t="shared" si="15"/>
        <v/>
      </c>
      <c r="M239" s="34"/>
      <c r="N239" s="193" t="str">
        <f t="shared" si="16"/>
        <v/>
      </c>
      <c r="O239" s="32"/>
    </row>
    <row r="240" spans="1:15" ht="15" customHeight="1" x14ac:dyDescent="0.25">
      <c r="A240" s="32"/>
      <c r="B240" s="32"/>
      <c r="C240" s="32" t="s">
        <v>17</v>
      </c>
      <c r="D240" s="33"/>
      <c r="E240" s="33"/>
      <c r="F240" s="33"/>
      <c r="G240" s="33"/>
      <c r="H240" s="33"/>
      <c r="I240" s="33"/>
      <c r="J240" s="33"/>
      <c r="K240" s="32"/>
      <c r="L240" s="193" t="str">
        <f t="shared" si="15"/>
        <v/>
      </c>
      <c r="M240" s="34"/>
      <c r="N240" s="193" t="str">
        <f t="shared" si="16"/>
        <v/>
      </c>
      <c r="O240" s="32"/>
    </row>
    <row r="241" spans="1:15" ht="15" customHeight="1" x14ac:dyDescent="0.25">
      <c r="A241" s="32"/>
      <c r="B241" s="32"/>
      <c r="C241" s="32" t="s">
        <v>17</v>
      </c>
      <c r="D241" s="33"/>
      <c r="E241" s="33"/>
      <c r="F241" s="33"/>
      <c r="G241" s="33"/>
      <c r="H241" s="33"/>
      <c r="I241" s="33"/>
      <c r="J241" s="33"/>
      <c r="K241" s="32"/>
      <c r="L241" s="193" t="str">
        <f t="shared" si="15"/>
        <v/>
      </c>
      <c r="M241" s="34"/>
      <c r="N241" s="193" t="str">
        <f t="shared" si="16"/>
        <v/>
      </c>
      <c r="O241" s="32"/>
    </row>
    <row r="242" spans="1:15" ht="15" customHeight="1" x14ac:dyDescent="0.25">
      <c r="A242" s="32"/>
      <c r="B242" s="32"/>
      <c r="C242" s="32" t="s">
        <v>17</v>
      </c>
      <c r="D242" s="33"/>
      <c r="E242" s="33"/>
      <c r="F242" s="33"/>
      <c r="G242" s="33"/>
      <c r="H242" s="33"/>
      <c r="I242" s="33"/>
      <c r="J242" s="33"/>
      <c r="K242" s="32"/>
      <c r="L242" s="193" t="str">
        <f t="shared" si="15"/>
        <v/>
      </c>
      <c r="M242" s="34"/>
      <c r="N242" s="193" t="str">
        <f t="shared" si="16"/>
        <v/>
      </c>
      <c r="O242" s="32"/>
    </row>
    <row r="243" spans="1:15" ht="15" customHeight="1" x14ac:dyDescent="0.25">
      <c r="A243" s="32"/>
      <c r="B243" s="32"/>
      <c r="C243" s="32" t="s">
        <v>17</v>
      </c>
      <c r="D243" s="33"/>
      <c r="E243" s="33"/>
      <c r="F243" s="33"/>
      <c r="G243" s="33"/>
      <c r="H243" s="33"/>
      <c r="I243" s="33"/>
      <c r="J243" s="33"/>
      <c r="K243" s="32"/>
      <c r="L243" s="193" t="str">
        <f t="shared" si="15"/>
        <v/>
      </c>
      <c r="M243" s="34"/>
      <c r="N243" s="193" t="str">
        <f t="shared" si="16"/>
        <v/>
      </c>
      <c r="O243" s="32"/>
    </row>
    <row r="244" spans="1:15" ht="15" customHeight="1" x14ac:dyDescent="0.25">
      <c r="A244" s="32"/>
      <c r="B244" s="32"/>
      <c r="C244" s="32" t="s">
        <v>17</v>
      </c>
      <c r="D244" s="33"/>
      <c r="E244" s="33"/>
      <c r="F244" s="33"/>
      <c r="G244" s="33"/>
      <c r="H244" s="33"/>
      <c r="I244" s="33"/>
      <c r="J244" s="33"/>
      <c r="K244" s="32"/>
      <c r="L244" s="193" t="str">
        <f t="shared" si="15"/>
        <v/>
      </c>
      <c r="M244" s="34"/>
      <c r="N244" s="193" t="str">
        <f t="shared" si="16"/>
        <v/>
      </c>
      <c r="O244" s="32"/>
    </row>
    <row r="245" spans="1:15" ht="15" customHeight="1" x14ac:dyDescent="0.25">
      <c r="A245" s="32"/>
      <c r="B245" s="32"/>
      <c r="C245" s="32" t="s">
        <v>17</v>
      </c>
      <c r="D245" s="33"/>
      <c r="E245" s="33"/>
      <c r="F245" s="33"/>
      <c r="G245" s="33"/>
      <c r="H245" s="33"/>
      <c r="I245" s="33"/>
      <c r="J245" s="33"/>
      <c r="K245" s="32"/>
      <c r="L245" s="193" t="str">
        <f t="shared" si="15"/>
        <v/>
      </c>
      <c r="M245" s="34"/>
      <c r="N245" s="193" t="str">
        <f t="shared" si="16"/>
        <v/>
      </c>
      <c r="O245" s="32"/>
    </row>
    <row r="246" spans="1:15" ht="15" customHeight="1" x14ac:dyDescent="0.25">
      <c r="A246" s="32"/>
      <c r="B246" s="32"/>
      <c r="C246" s="32" t="s">
        <v>17</v>
      </c>
      <c r="D246" s="33"/>
      <c r="E246" s="33"/>
      <c r="F246" s="33"/>
      <c r="G246" s="33"/>
      <c r="H246" s="33"/>
      <c r="I246" s="33"/>
      <c r="J246" s="33"/>
      <c r="K246" s="32"/>
      <c r="L246" s="193" t="str">
        <f t="shared" si="15"/>
        <v/>
      </c>
      <c r="M246" s="34"/>
      <c r="N246" s="193" t="str">
        <f t="shared" si="16"/>
        <v/>
      </c>
      <c r="O246" s="32"/>
    </row>
    <row r="247" spans="1:15" ht="15" customHeight="1" x14ac:dyDescent="0.25">
      <c r="A247" s="32"/>
      <c r="B247" s="32"/>
      <c r="C247" s="32" t="s">
        <v>17</v>
      </c>
      <c r="D247" s="33"/>
      <c r="E247" s="33"/>
      <c r="F247" s="33"/>
      <c r="G247" s="33"/>
      <c r="H247" s="33"/>
      <c r="I247" s="33"/>
      <c r="J247" s="33"/>
      <c r="K247" s="32"/>
      <c r="L247" s="193" t="str">
        <f t="shared" si="15"/>
        <v/>
      </c>
      <c r="M247" s="34"/>
      <c r="N247" s="193" t="str">
        <f t="shared" si="16"/>
        <v/>
      </c>
      <c r="O247" s="32"/>
    </row>
    <row r="248" spans="1:15" ht="15" customHeight="1" x14ac:dyDescent="0.25">
      <c r="A248" s="32"/>
      <c r="B248" s="32"/>
      <c r="C248" s="32" t="s">
        <v>17</v>
      </c>
      <c r="D248" s="33"/>
      <c r="E248" s="33"/>
      <c r="F248" s="33"/>
      <c r="G248" s="33"/>
      <c r="H248" s="33"/>
      <c r="I248" s="33"/>
      <c r="J248" s="33"/>
      <c r="K248" s="32"/>
      <c r="L248" s="193" t="str">
        <f t="shared" si="15"/>
        <v/>
      </c>
      <c r="M248" s="34"/>
      <c r="N248" s="193" t="str">
        <f t="shared" si="16"/>
        <v/>
      </c>
      <c r="O248" s="32"/>
    </row>
    <row r="249" spans="1:15" ht="15" customHeight="1" x14ac:dyDescent="0.25">
      <c r="A249" s="35" t="s">
        <v>98</v>
      </c>
      <c r="B249" s="35" t="str">
        <f>COUNTIF(B210:B248,"?*")&amp;" alunos"</f>
        <v>1 alunos</v>
      </c>
      <c r="C249" s="36"/>
      <c r="D249" s="36"/>
      <c r="E249" s="36"/>
      <c r="F249" s="36"/>
      <c r="G249" s="36"/>
      <c r="H249" s="36"/>
      <c r="J249" s="36"/>
      <c r="K249" s="36"/>
      <c r="L249" s="37">
        <f>SUM(L210:L248)</f>
        <v>180000</v>
      </c>
      <c r="M249" s="36"/>
      <c r="N249" s="37">
        <f>SUM(N210:N248)</f>
        <v>162000</v>
      </c>
      <c r="O249" s="36"/>
    </row>
    <row r="250" spans="1:15" ht="15" customHeight="1" x14ac:dyDescent="0.25"/>
    <row r="251" spans="1:15" ht="15" customHeight="1" x14ac:dyDescent="0.25">
      <c r="A251" s="48" t="s">
        <v>118</v>
      </c>
    </row>
    <row r="252" spans="1:15" ht="15" customHeight="1" x14ac:dyDescent="0.25">
      <c r="A252" s="31" t="s">
        <v>64</v>
      </c>
      <c r="B252" s="31" t="s">
        <v>65</v>
      </c>
      <c r="C252" s="31" t="s">
        <v>66</v>
      </c>
      <c r="D252" s="31" t="s">
        <v>67</v>
      </c>
      <c r="E252" s="31" t="s">
        <v>68</v>
      </c>
      <c r="F252" s="31" t="s">
        <v>69</v>
      </c>
      <c r="G252" s="31" t="s">
        <v>70</v>
      </c>
      <c r="H252" s="31" t="s">
        <v>71</v>
      </c>
      <c r="I252" s="31" t="s">
        <v>72</v>
      </c>
      <c r="J252" s="31" t="s">
        <v>73</v>
      </c>
      <c r="K252" s="31" t="s">
        <v>74</v>
      </c>
      <c r="L252" s="31" t="s">
        <v>11</v>
      </c>
      <c r="M252" s="31" t="s">
        <v>75</v>
      </c>
      <c r="N252" s="31" t="s">
        <v>12</v>
      </c>
      <c r="O252" s="31" t="s">
        <v>76</v>
      </c>
    </row>
    <row r="253" spans="1:15" ht="15" customHeight="1" x14ac:dyDescent="0.25">
      <c r="A253" s="46" t="s">
        <v>119</v>
      </c>
      <c r="B253" s="32" t="s">
        <v>120</v>
      </c>
      <c r="C253" s="32" t="s">
        <v>121</v>
      </c>
      <c r="D253" s="33">
        <v>150000</v>
      </c>
      <c r="E253" s="33"/>
      <c r="F253" s="33"/>
      <c r="G253" s="33"/>
      <c r="H253" s="33"/>
      <c r="I253" s="33">
        <v>40000</v>
      </c>
      <c r="J253" s="33"/>
      <c r="K253" s="32"/>
      <c r="L253" s="193">
        <f t="shared" ref="L253:L292" si="17">IF(B253="","",SUM(D253:J253))</f>
        <v>190000</v>
      </c>
      <c r="M253" s="34"/>
      <c r="N253" s="193">
        <f t="shared" ref="N253:N292" si="18">IF(B253="","",L253*(1-IF(M253="",0,M253)))</f>
        <v>190000</v>
      </c>
      <c r="O253" s="32"/>
    </row>
    <row r="254" spans="1:15" ht="15" customHeight="1" x14ac:dyDescent="0.25">
      <c r="A254" s="46"/>
      <c r="B254" s="32"/>
      <c r="C254" s="32"/>
      <c r="D254" s="33"/>
      <c r="E254" s="33"/>
      <c r="F254" s="33"/>
      <c r="G254" s="33"/>
      <c r="H254" s="33"/>
      <c r="I254" s="33"/>
      <c r="J254" s="33"/>
      <c r="K254" s="32"/>
      <c r="L254" s="193" t="str">
        <f t="shared" si="17"/>
        <v/>
      </c>
      <c r="M254" s="34"/>
      <c r="N254" s="193" t="str">
        <f t="shared" si="18"/>
        <v/>
      </c>
      <c r="O254" s="32"/>
    </row>
    <row r="255" spans="1:15" ht="15" customHeight="1" x14ac:dyDescent="0.25">
      <c r="A255" s="46"/>
      <c r="B255" s="32"/>
      <c r="C255" s="32"/>
      <c r="D255" s="33"/>
      <c r="E255" s="33"/>
      <c r="F255" s="33"/>
      <c r="G255" s="33"/>
      <c r="H255" s="33"/>
      <c r="I255" s="33"/>
      <c r="J255" s="33"/>
      <c r="K255" s="32"/>
      <c r="L255" s="193" t="str">
        <f t="shared" si="17"/>
        <v/>
      </c>
      <c r="M255" s="34"/>
      <c r="N255" s="193" t="str">
        <f t="shared" si="18"/>
        <v/>
      </c>
      <c r="O255" s="32"/>
    </row>
    <row r="256" spans="1:15" ht="15" customHeight="1" x14ac:dyDescent="0.25">
      <c r="A256" s="46"/>
      <c r="B256" s="32"/>
      <c r="C256" s="32"/>
      <c r="D256" s="33"/>
      <c r="E256" s="33"/>
      <c r="F256" s="33"/>
      <c r="G256" s="33"/>
      <c r="H256" s="33"/>
      <c r="I256" s="33"/>
      <c r="J256" s="33"/>
      <c r="K256" s="32"/>
      <c r="L256" s="193" t="str">
        <f t="shared" si="17"/>
        <v/>
      </c>
      <c r="M256" s="34"/>
      <c r="N256" s="193" t="str">
        <f t="shared" si="18"/>
        <v/>
      </c>
      <c r="O256" s="32"/>
    </row>
    <row r="257" spans="1:15" ht="15" customHeight="1" x14ac:dyDescent="0.25">
      <c r="A257" s="46"/>
      <c r="B257" s="32"/>
      <c r="C257" s="32"/>
      <c r="D257" s="33"/>
      <c r="E257" s="33"/>
      <c r="F257" s="33"/>
      <c r="G257" s="33"/>
      <c r="H257" s="33"/>
      <c r="I257" s="33"/>
      <c r="J257" s="33"/>
      <c r="K257" s="32"/>
      <c r="L257" s="193" t="str">
        <f t="shared" si="17"/>
        <v/>
      </c>
      <c r="M257" s="34"/>
      <c r="N257" s="193" t="str">
        <f t="shared" si="18"/>
        <v/>
      </c>
      <c r="O257" s="32"/>
    </row>
    <row r="258" spans="1:15" x14ac:dyDescent="0.25">
      <c r="A258" s="46"/>
      <c r="B258" s="32"/>
      <c r="C258" s="32"/>
      <c r="D258" s="33"/>
      <c r="E258" s="33"/>
      <c r="F258" s="33"/>
      <c r="G258" s="33"/>
      <c r="H258" s="33"/>
      <c r="I258" s="33"/>
      <c r="J258" s="33"/>
      <c r="K258" s="32"/>
      <c r="L258" s="193" t="str">
        <f t="shared" si="17"/>
        <v/>
      </c>
      <c r="M258" s="34"/>
      <c r="N258" s="193" t="str">
        <f t="shared" si="18"/>
        <v/>
      </c>
      <c r="O258" s="32"/>
    </row>
    <row r="259" spans="1:15" ht="15" customHeight="1" x14ac:dyDescent="0.25">
      <c r="A259" s="46"/>
      <c r="B259" s="32"/>
      <c r="C259" s="32"/>
      <c r="D259" s="33"/>
      <c r="E259" s="33"/>
      <c r="F259" s="33"/>
      <c r="G259" s="33"/>
      <c r="H259" s="33"/>
      <c r="I259" s="33"/>
      <c r="J259" s="33"/>
      <c r="K259" s="32"/>
      <c r="L259" s="193" t="str">
        <f t="shared" si="17"/>
        <v/>
      </c>
      <c r="M259" s="34"/>
      <c r="N259" s="193" t="str">
        <f t="shared" si="18"/>
        <v/>
      </c>
      <c r="O259" s="32"/>
    </row>
    <row r="260" spans="1:15" x14ac:dyDescent="0.25">
      <c r="A260" s="46"/>
      <c r="B260" s="32"/>
      <c r="C260" s="32"/>
      <c r="D260" s="33"/>
      <c r="E260" s="33"/>
      <c r="F260" s="33"/>
      <c r="G260" s="33"/>
      <c r="H260" s="33"/>
      <c r="I260" s="33"/>
      <c r="J260" s="33"/>
      <c r="K260" s="32"/>
      <c r="L260" s="193" t="str">
        <f t="shared" si="17"/>
        <v/>
      </c>
      <c r="M260" s="34"/>
      <c r="N260" s="193" t="str">
        <f t="shared" si="18"/>
        <v/>
      </c>
      <c r="O260" s="32"/>
    </row>
    <row r="261" spans="1:15" x14ac:dyDescent="0.25">
      <c r="A261" s="46"/>
      <c r="B261" s="32"/>
      <c r="C261" s="32"/>
      <c r="D261" s="33"/>
      <c r="E261" s="33"/>
      <c r="F261" s="33"/>
      <c r="G261" s="33"/>
      <c r="H261" s="33"/>
      <c r="I261" s="33"/>
      <c r="J261" s="33"/>
      <c r="K261" s="32"/>
      <c r="L261" s="193" t="str">
        <f t="shared" si="17"/>
        <v/>
      </c>
      <c r="M261" s="34"/>
      <c r="N261" s="193" t="str">
        <f t="shared" si="18"/>
        <v/>
      </c>
      <c r="O261" s="32"/>
    </row>
    <row r="262" spans="1:15" x14ac:dyDescent="0.25">
      <c r="A262" s="46"/>
      <c r="B262" s="32"/>
      <c r="C262" s="32"/>
      <c r="D262" s="33"/>
      <c r="E262" s="33"/>
      <c r="F262" s="33"/>
      <c r="G262" s="33"/>
      <c r="H262" s="33"/>
      <c r="I262" s="33"/>
      <c r="J262" s="33"/>
      <c r="K262" s="32"/>
      <c r="L262" s="193" t="str">
        <f t="shared" si="17"/>
        <v/>
      </c>
      <c r="M262" s="34"/>
      <c r="N262" s="193" t="str">
        <f t="shared" si="18"/>
        <v/>
      </c>
      <c r="O262" s="32"/>
    </row>
    <row r="263" spans="1:15" x14ac:dyDescent="0.25">
      <c r="A263" s="46"/>
      <c r="B263" s="32"/>
      <c r="C263" s="32"/>
      <c r="D263" s="33"/>
      <c r="E263" s="33"/>
      <c r="F263" s="33"/>
      <c r="G263" s="33"/>
      <c r="H263" s="33"/>
      <c r="I263" s="33"/>
      <c r="J263" s="33"/>
      <c r="K263" s="32"/>
      <c r="L263" s="193" t="str">
        <f t="shared" si="17"/>
        <v/>
      </c>
      <c r="M263" s="34"/>
      <c r="N263" s="193" t="str">
        <f t="shared" si="18"/>
        <v/>
      </c>
      <c r="O263" s="32"/>
    </row>
    <row r="264" spans="1:15" x14ac:dyDescent="0.25">
      <c r="A264" s="46"/>
      <c r="B264" s="32"/>
      <c r="C264" s="32"/>
      <c r="D264" s="33"/>
      <c r="E264" s="33"/>
      <c r="F264" s="33"/>
      <c r="G264" s="33"/>
      <c r="H264" s="33"/>
      <c r="I264" s="33"/>
      <c r="J264" s="33"/>
      <c r="K264" s="32"/>
      <c r="L264" s="193" t="str">
        <f t="shared" si="17"/>
        <v/>
      </c>
      <c r="M264" s="34"/>
      <c r="N264" s="193" t="str">
        <f t="shared" si="18"/>
        <v/>
      </c>
      <c r="O264" s="32"/>
    </row>
    <row r="265" spans="1:15" x14ac:dyDescent="0.25">
      <c r="A265" s="46"/>
      <c r="B265" s="32"/>
      <c r="C265" s="32"/>
      <c r="D265" s="33"/>
      <c r="E265" s="33"/>
      <c r="F265" s="33"/>
      <c r="G265" s="33"/>
      <c r="H265" s="33"/>
      <c r="I265" s="33"/>
      <c r="J265" s="33"/>
      <c r="K265" s="32"/>
      <c r="L265" s="193" t="str">
        <f t="shared" si="17"/>
        <v/>
      </c>
      <c r="M265" s="34"/>
      <c r="N265" s="193" t="str">
        <f t="shared" si="18"/>
        <v/>
      </c>
      <c r="O265" s="32"/>
    </row>
    <row r="266" spans="1:15" x14ac:dyDescent="0.25">
      <c r="A266" s="46"/>
      <c r="B266" s="32"/>
      <c r="C266" s="32"/>
      <c r="D266" s="33"/>
      <c r="E266" s="33"/>
      <c r="F266" s="33"/>
      <c r="G266" s="33"/>
      <c r="H266" s="33"/>
      <c r="I266" s="33"/>
      <c r="J266" s="33"/>
      <c r="K266" s="32"/>
      <c r="L266" s="193" t="str">
        <f t="shared" si="17"/>
        <v/>
      </c>
      <c r="M266" s="34"/>
      <c r="N266" s="193" t="str">
        <f t="shared" si="18"/>
        <v/>
      </c>
      <c r="O266" s="32"/>
    </row>
    <row r="267" spans="1:15" x14ac:dyDescent="0.25">
      <c r="A267" s="46"/>
      <c r="B267" s="32"/>
      <c r="C267" s="32"/>
      <c r="D267" s="33"/>
      <c r="E267" s="33"/>
      <c r="F267" s="33"/>
      <c r="G267" s="33"/>
      <c r="H267" s="33"/>
      <c r="I267" s="33"/>
      <c r="J267" s="33"/>
      <c r="K267" s="32"/>
      <c r="L267" s="193" t="str">
        <f t="shared" si="17"/>
        <v/>
      </c>
      <c r="M267" s="34"/>
      <c r="N267" s="193" t="str">
        <f t="shared" si="18"/>
        <v/>
      </c>
      <c r="O267" s="32"/>
    </row>
    <row r="268" spans="1:15" x14ac:dyDescent="0.25">
      <c r="A268" s="46"/>
      <c r="B268" s="32"/>
      <c r="C268" s="32"/>
      <c r="D268" s="33"/>
      <c r="E268" s="33"/>
      <c r="F268" s="33"/>
      <c r="G268" s="33"/>
      <c r="H268" s="33"/>
      <c r="I268" s="33"/>
      <c r="J268" s="33"/>
      <c r="K268" s="32"/>
      <c r="L268" s="193" t="str">
        <f t="shared" si="17"/>
        <v/>
      </c>
      <c r="M268" s="34"/>
      <c r="N268" s="193" t="str">
        <f t="shared" si="18"/>
        <v/>
      </c>
      <c r="O268" s="32"/>
    </row>
    <row r="269" spans="1:15" x14ac:dyDescent="0.25">
      <c r="A269" s="46"/>
      <c r="B269" s="32"/>
      <c r="C269" s="32"/>
      <c r="D269" s="33"/>
      <c r="E269" s="33"/>
      <c r="F269" s="33"/>
      <c r="G269" s="33"/>
      <c r="H269" s="33"/>
      <c r="I269" s="33"/>
      <c r="J269" s="33"/>
      <c r="K269" s="32"/>
      <c r="L269" s="193" t="str">
        <f t="shared" si="17"/>
        <v/>
      </c>
      <c r="M269" s="34"/>
      <c r="N269" s="193" t="str">
        <f t="shared" si="18"/>
        <v/>
      </c>
      <c r="O269" s="32"/>
    </row>
    <row r="270" spans="1:15" x14ac:dyDescent="0.25">
      <c r="A270" s="46"/>
      <c r="B270" s="32"/>
      <c r="C270" s="32"/>
      <c r="D270" s="33"/>
      <c r="E270" s="33"/>
      <c r="F270" s="33"/>
      <c r="G270" s="33"/>
      <c r="H270" s="33"/>
      <c r="I270" s="33"/>
      <c r="J270" s="33"/>
      <c r="K270" s="32"/>
      <c r="L270" s="193" t="str">
        <f t="shared" si="17"/>
        <v/>
      </c>
      <c r="M270" s="34"/>
      <c r="N270" s="193" t="str">
        <f t="shared" si="18"/>
        <v/>
      </c>
      <c r="O270" s="32"/>
    </row>
    <row r="271" spans="1:15" x14ac:dyDescent="0.25">
      <c r="A271" s="46"/>
      <c r="B271" s="32"/>
      <c r="C271" s="32"/>
      <c r="D271" s="33"/>
      <c r="E271" s="33"/>
      <c r="F271" s="33"/>
      <c r="G271" s="33"/>
      <c r="H271" s="33"/>
      <c r="I271" s="33"/>
      <c r="J271" s="33"/>
      <c r="K271" s="32"/>
      <c r="L271" s="193" t="str">
        <f t="shared" si="17"/>
        <v/>
      </c>
      <c r="M271" s="34"/>
      <c r="N271" s="193" t="str">
        <f t="shared" si="18"/>
        <v/>
      </c>
      <c r="O271" s="32"/>
    </row>
    <row r="272" spans="1:15" x14ac:dyDescent="0.25">
      <c r="A272" s="46"/>
      <c r="B272" s="32"/>
      <c r="C272" s="32"/>
      <c r="D272" s="33"/>
      <c r="E272" s="33"/>
      <c r="F272" s="33"/>
      <c r="G272" s="33"/>
      <c r="H272" s="33"/>
      <c r="I272" s="33"/>
      <c r="J272" s="33"/>
      <c r="K272" s="32"/>
      <c r="L272" s="193" t="str">
        <f t="shared" si="17"/>
        <v/>
      </c>
      <c r="M272" s="34"/>
      <c r="N272" s="193" t="str">
        <f t="shared" si="18"/>
        <v/>
      </c>
      <c r="O272" s="32"/>
    </row>
    <row r="273" spans="1:15" x14ac:dyDescent="0.25">
      <c r="A273" s="46"/>
      <c r="B273" s="32"/>
      <c r="C273" s="32"/>
      <c r="D273" s="33"/>
      <c r="E273" s="33"/>
      <c r="F273" s="33"/>
      <c r="G273" s="33"/>
      <c r="H273" s="33"/>
      <c r="I273" s="33"/>
      <c r="J273" s="33"/>
      <c r="K273" s="32"/>
      <c r="L273" s="193" t="str">
        <f t="shared" si="17"/>
        <v/>
      </c>
      <c r="M273" s="34"/>
      <c r="N273" s="193" t="str">
        <f t="shared" si="18"/>
        <v/>
      </c>
      <c r="O273" s="32"/>
    </row>
    <row r="274" spans="1:15" x14ac:dyDescent="0.25">
      <c r="A274" s="46"/>
      <c r="B274" s="32"/>
      <c r="C274" s="32"/>
      <c r="D274" s="33"/>
      <c r="E274" s="33"/>
      <c r="F274" s="33"/>
      <c r="G274" s="33"/>
      <c r="H274" s="33"/>
      <c r="I274" s="33"/>
      <c r="J274" s="33"/>
      <c r="K274" s="32"/>
      <c r="L274" s="193" t="str">
        <f t="shared" si="17"/>
        <v/>
      </c>
      <c r="M274" s="34"/>
      <c r="N274" s="193" t="str">
        <f t="shared" si="18"/>
        <v/>
      </c>
      <c r="O274" s="32"/>
    </row>
    <row r="275" spans="1:15" x14ac:dyDescent="0.25">
      <c r="A275" s="46"/>
      <c r="B275" s="32"/>
      <c r="C275" s="32"/>
      <c r="D275" s="33"/>
      <c r="E275" s="33"/>
      <c r="F275" s="33"/>
      <c r="G275" s="33"/>
      <c r="H275" s="33"/>
      <c r="I275" s="33"/>
      <c r="J275" s="33"/>
      <c r="K275" s="32"/>
      <c r="L275" s="193" t="str">
        <f t="shared" si="17"/>
        <v/>
      </c>
      <c r="M275" s="34"/>
      <c r="N275" s="193" t="str">
        <f t="shared" si="18"/>
        <v/>
      </c>
      <c r="O275" s="32"/>
    </row>
    <row r="276" spans="1:15" x14ac:dyDescent="0.25">
      <c r="A276" s="46"/>
      <c r="B276" s="32"/>
      <c r="C276" s="32"/>
      <c r="D276" s="33"/>
      <c r="E276" s="33"/>
      <c r="F276" s="33"/>
      <c r="G276" s="33"/>
      <c r="H276" s="33"/>
      <c r="I276" s="33"/>
      <c r="J276" s="33"/>
      <c r="K276" s="32"/>
      <c r="L276" s="193" t="str">
        <f t="shared" si="17"/>
        <v/>
      </c>
      <c r="M276" s="34"/>
      <c r="N276" s="193" t="str">
        <f t="shared" si="18"/>
        <v/>
      </c>
      <c r="O276" s="32"/>
    </row>
    <row r="277" spans="1:15" x14ac:dyDescent="0.25">
      <c r="A277" s="46"/>
      <c r="B277" s="32"/>
      <c r="C277" s="32"/>
      <c r="D277" s="33"/>
      <c r="E277" s="33"/>
      <c r="F277" s="33"/>
      <c r="G277" s="33"/>
      <c r="H277" s="33"/>
      <c r="I277" s="33"/>
      <c r="J277" s="33"/>
      <c r="K277" s="32"/>
      <c r="L277" s="193" t="str">
        <f t="shared" si="17"/>
        <v/>
      </c>
      <c r="M277" s="34"/>
      <c r="N277" s="193" t="str">
        <f t="shared" si="18"/>
        <v/>
      </c>
      <c r="O277" s="32"/>
    </row>
    <row r="278" spans="1:15" x14ac:dyDescent="0.25">
      <c r="A278" s="46"/>
      <c r="B278" s="32"/>
      <c r="C278" s="32"/>
      <c r="D278" s="33"/>
      <c r="E278" s="33"/>
      <c r="F278" s="33"/>
      <c r="G278" s="33"/>
      <c r="H278" s="33"/>
      <c r="I278" s="33"/>
      <c r="J278" s="33"/>
      <c r="K278" s="32"/>
      <c r="L278" s="193" t="str">
        <f t="shared" si="17"/>
        <v/>
      </c>
      <c r="M278" s="34"/>
      <c r="N278" s="193" t="str">
        <f t="shared" si="18"/>
        <v/>
      </c>
      <c r="O278" s="32"/>
    </row>
    <row r="279" spans="1:15" x14ac:dyDescent="0.25">
      <c r="A279" s="46"/>
      <c r="B279" s="32"/>
      <c r="C279" s="32"/>
      <c r="D279" s="33"/>
      <c r="E279" s="33"/>
      <c r="F279" s="33"/>
      <c r="G279" s="33"/>
      <c r="H279" s="33"/>
      <c r="I279" s="33"/>
      <c r="J279" s="33"/>
      <c r="K279" s="32"/>
      <c r="L279" s="193" t="str">
        <f t="shared" si="17"/>
        <v/>
      </c>
      <c r="M279" s="34"/>
      <c r="N279" s="193" t="str">
        <f t="shared" si="18"/>
        <v/>
      </c>
      <c r="O279" s="32"/>
    </row>
    <row r="280" spans="1:15" x14ac:dyDescent="0.25">
      <c r="A280" s="46"/>
      <c r="B280" s="32"/>
      <c r="C280" s="32"/>
      <c r="D280" s="33"/>
      <c r="E280" s="33"/>
      <c r="F280" s="33"/>
      <c r="G280" s="33"/>
      <c r="H280" s="33"/>
      <c r="I280" s="33"/>
      <c r="J280" s="33"/>
      <c r="K280" s="32"/>
      <c r="L280" s="193" t="str">
        <f t="shared" si="17"/>
        <v/>
      </c>
      <c r="M280" s="34"/>
      <c r="N280" s="193" t="str">
        <f t="shared" si="18"/>
        <v/>
      </c>
      <c r="O280" s="32"/>
    </row>
    <row r="281" spans="1:15" x14ac:dyDescent="0.25">
      <c r="A281" s="46"/>
      <c r="B281" s="32"/>
      <c r="C281" s="32"/>
      <c r="D281" s="33"/>
      <c r="E281" s="33"/>
      <c r="F281" s="33"/>
      <c r="G281" s="33"/>
      <c r="H281" s="33"/>
      <c r="I281" s="33"/>
      <c r="J281" s="33"/>
      <c r="K281" s="32"/>
      <c r="L281" s="193" t="str">
        <f t="shared" si="17"/>
        <v/>
      </c>
      <c r="M281" s="34"/>
      <c r="N281" s="193" t="str">
        <f t="shared" si="18"/>
        <v/>
      </c>
      <c r="O281" s="32"/>
    </row>
    <row r="282" spans="1:15" x14ac:dyDescent="0.25">
      <c r="A282" s="46"/>
      <c r="B282" s="32"/>
      <c r="C282" s="32"/>
      <c r="D282" s="33"/>
      <c r="E282" s="33"/>
      <c r="F282" s="33"/>
      <c r="G282" s="33"/>
      <c r="H282" s="33"/>
      <c r="I282" s="33"/>
      <c r="J282" s="33"/>
      <c r="K282" s="32"/>
      <c r="L282" s="193" t="str">
        <f t="shared" si="17"/>
        <v/>
      </c>
      <c r="M282" s="34"/>
      <c r="N282" s="193" t="str">
        <f t="shared" si="18"/>
        <v/>
      </c>
      <c r="O282" s="32"/>
    </row>
    <row r="283" spans="1:15" x14ac:dyDescent="0.25">
      <c r="A283" s="46"/>
      <c r="B283" s="32"/>
      <c r="C283" s="32"/>
      <c r="D283" s="33"/>
      <c r="E283" s="33"/>
      <c r="F283" s="33"/>
      <c r="G283" s="33"/>
      <c r="H283" s="33"/>
      <c r="I283" s="33"/>
      <c r="J283" s="33"/>
      <c r="K283" s="32"/>
      <c r="L283" s="193" t="str">
        <f t="shared" si="17"/>
        <v/>
      </c>
      <c r="M283" s="34"/>
      <c r="N283" s="193" t="str">
        <f t="shared" si="18"/>
        <v/>
      </c>
      <c r="O283" s="32"/>
    </row>
    <row r="284" spans="1:15" x14ac:dyDescent="0.25">
      <c r="A284" s="46"/>
      <c r="B284" s="32"/>
      <c r="C284" s="32"/>
      <c r="D284" s="33"/>
      <c r="E284" s="33"/>
      <c r="F284" s="33"/>
      <c r="G284" s="33"/>
      <c r="H284" s="33"/>
      <c r="I284" s="33"/>
      <c r="J284" s="33"/>
      <c r="K284" s="32"/>
      <c r="L284" s="193" t="str">
        <f t="shared" si="17"/>
        <v/>
      </c>
      <c r="M284" s="34"/>
      <c r="N284" s="193" t="str">
        <f t="shared" si="18"/>
        <v/>
      </c>
      <c r="O284" s="32"/>
    </row>
    <row r="285" spans="1:15" x14ac:dyDescent="0.25">
      <c r="A285" s="46"/>
      <c r="B285" s="32"/>
      <c r="C285" s="32"/>
      <c r="D285" s="33"/>
      <c r="E285" s="33"/>
      <c r="F285" s="33"/>
      <c r="G285" s="33"/>
      <c r="H285" s="33"/>
      <c r="I285" s="33"/>
      <c r="J285" s="33"/>
      <c r="K285" s="32"/>
      <c r="L285" s="193" t="str">
        <f t="shared" si="17"/>
        <v/>
      </c>
      <c r="M285" s="34"/>
      <c r="N285" s="193" t="str">
        <f t="shared" si="18"/>
        <v/>
      </c>
      <c r="O285" s="32"/>
    </row>
    <row r="286" spans="1:15" x14ac:dyDescent="0.25">
      <c r="A286" s="46"/>
      <c r="B286" s="32"/>
      <c r="C286" s="32"/>
      <c r="D286" s="33"/>
      <c r="E286" s="33"/>
      <c r="F286" s="33"/>
      <c r="G286" s="33"/>
      <c r="H286" s="33"/>
      <c r="I286" s="33"/>
      <c r="J286" s="33"/>
      <c r="K286" s="32"/>
      <c r="L286" s="193" t="str">
        <f t="shared" si="17"/>
        <v/>
      </c>
      <c r="M286" s="34"/>
      <c r="N286" s="193" t="str">
        <f t="shared" si="18"/>
        <v/>
      </c>
      <c r="O286" s="32"/>
    </row>
    <row r="287" spans="1:15" x14ac:dyDescent="0.25">
      <c r="A287" s="46"/>
      <c r="B287" s="32"/>
      <c r="C287" s="32"/>
      <c r="D287" s="33"/>
      <c r="E287" s="33"/>
      <c r="F287" s="33"/>
      <c r="G287" s="33"/>
      <c r="H287" s="33"/>
      <c r="I287" s="33"/>
      <c r="J287" s="33"/>
      <c r="K287" s="32"/>
      <c r="L287" s="193" t="str">
        <f t="shared" si="17"/>
        <v/>
      </c>
      <c r="M287" s="34"/>
      <c r="N287" s="193" t="str">
        <f t="shared" si="18"/>
        <v/>
      </c>
      <c r="O287" s="32"/>
    </row>
    <row r="288" spans="1:15" x14ac:dyDescent="0.25">
      <c r="A288" s="46"/>
      <c r="B288" s="32"/>
      <c r="C288" s="32"/>
      <c r="D288" s="33"/>
      <c r="E288" s="33"/>
      <c r="F288" s="33"/>
      <c r="G288" s="33"/>
      <c r="H288" s="33"/>
      <c r="I288" s="33"/>
      <c r="J288" s="33"/>
      <c r="K288" s="32"/>
      <c r="L288" s="193" t="str">
        <f t="shared" si="17"/>
        <v/>
      </c>
      <c r="M288" s="34"/>
      <c r="N288" s="193" t="str">
        <f t="shared" si="18"/>
        <v/>
      </c>
      <c r="O288" s="32"/>
    </row>
    <row r="289" spans="1:15" x14ac:dyDescent="0.25">
      <c r="A289" s="46"/>
      <c r="B289" s="32"/>
      <c r="C289" s="32"/>
      <c r="D289" s="33"/>
      <c r="E289" s="33"/>
      <c r="F289" s="33"/>
      <c r="G289" s="33"/>
      <c r="H289" s="33"/>
      <c r="I289" s="33"/>
      <c r="J289" s="33"/>
      <c r="K289" s="32"/>
      <c r="L289" s="193" t="str">
        <f t="shared" si="17"/>
        <v/>
      </c>
      <c r="M289" s="34"/>
      <c r="N289" s="193" t="str">
        <f t="shared" si="18"/>
        <v/>
      </c>
      <c r="O289" s="32"/>
    </row>
    <row r="290" spans="1:15" x14ac:dyDescent="0.25">
      <c r="A290" s="46"/>
      <c r="B290" s="32"/>
      <c r="C290" s="32"/>
      <c r="D290" s="33"/>
      <c r="E290" s="33"/>
      <c r="F290" s="33"/>
      <c r="G290" s="33"/>
      <c r="H290" s="33"/>
      <c r="I290" s="33"/>
      <c r="J290" s="33"/>
      <c r="K290" s="32"/>
      <c r="L290" s="193" t="str">
        <f t="shared" si="17"/>
        <v/>
      </c>
      <c r="M290" s="34"/>
      <c r="N290" s="193" t="str">
        <f t="shared" si="18"/>
        <v/>
      </c>
      <c r="O290" s="32"/>
    </row>
    <row r="291" spans="1:15" x14ac:dyDescent="0.25">
      <c r="A291" s="46"/>
      <c r="B291" s="32"/>
      <c r="C291" s="32"/>
      <c r="D291" s="33"/>
      <c r="E291" s="33"/>
      <c r="F291" s="33"/>
      <c r="G291" s="33"/>
      <c r="H291" s="33"/>
      <c r="I291" s="33"/>
      <c r="J291" s="33"/>
      <c r="K291" s="32"/>
      <c r="L291" s="193" t="str">
        <f t="shared" si="17"/>
        <v/>
      </c>
      <c r="M291" s="34"/>
      <c r="N291" s="193" t="str">
        <f t="shared" si="18"/>
        <v/>
      </c>
      <c r="O291" s="32"/>
    </row>
    <row r="292" spans="1:15" x14ac:dyDescent="0.25">
      <c r="A292" s="46"/>
      <c r="B292" s="32"/>
      <c r="C292" s="32"/>
      <c r="D292" s="33"/>
      <c r="E292" s="33"/>
      <c r="F292" s="33"/>
      <c r="G292" s="33"/>
      <c r="H292" s="33"/>
      <c r="I292" s="33"/>
      <c r="J292" s="33"/>
      <c r="K292" s="32"/>
      <c r="L292" s="193" t="str">
        <f t="shared" si="17"/>
        <v/>
      </c>
      <c r="M292" s="34"/>
      <c r="N292" s="193" t="str">
        <f t="shared" si="18"/>
        <v/>
      </c>
      <c r="O292" s="32"/>
    </row>
    <row r="293" spans="1:15" x14ac:dyDescent="0.25">
      <c r="A293" s="35" t="s">
        <v>98</v>
      </c>
      <c r="B293" s="35" t="str">
        <f>COUNTIF(B253:B292,"?*")&amp;" alunos"</f>
        <v>1 alunos</v>
      </c>
      <c r="C293" s="36"/>
      <c r="D293" s="36"/>
      <c r="E293" s="36"/>
      <c r="F293" s="36"/>
      <c r="G293" s="36"/>
      <c r="H293" s="36"/>
      <c r="J293" s="36"/>
      <c r="K293" s="36"/>
      <c r="L293" s="37">
        <f>SUM(L253:L292)</f>
        <v>190000</v>
      </c>
      <c r="M293" s="36"/>
      <c r="N293" s="37">
        <f>SUM(N253:N292)</f>
        <v>190000</v>
      </c>
      <c r="O293" s="36"/>
    </row>
    <row r="295" spans="1:15" x14ac:dyDescent="0.25">
      <c r="A295" s="49" t="s">
        <v>122</v>
      </c>
      <c r="B295" s="49">
        <f>COUNTIF(B6:B105,"?*")+COUNTIF(B110:B124,"?*")+COUNTIF(B129:B187,"?*")+COUNTIF(B192:B206,"?*")+COUNTIF(B210:B248,"?*")+COUNTIF(B253:B292,"?*")</f>
        <v>17</v>
      </c>
      <c r="C295" s="49"/>
      <c r="D295" s="49"/>
      <c r="E295" s="49"/>
      <c r="F295" s="49"/>
      <c r="G295" s="49"/>
      <c r="H295" s="49"/>
      <c r="J295" s="49"/>
      <c r="K295" s="49"/>
      <c r="L295" s="50">
        <f>L106+L125+L188+L207+L249+L293</f>
        <v>3294000</v>
      </c>
      <c r="M295" s="49"/>
      <c r="N295" s="50">
        <f>N106+N125+N188+N207+N249+N293</f>
        <v>3258000</v>
      </c>
      <c r="O295" s="49"/>
    </row>
  </sheetData>
  <mergeCells count="5">
    <mergeCell ref="A2:O2"/>
    <mergeCell ref="A190:O190"/>
    <mergeCell ref="A108:O108"/>
    <mergeCell ref="A1:O1"/>
    <mergeCell ref="A4:O4"/>
  </mergeCells>
  <dataValidations count="2">
    <dataValidation type="list" allowBlank="1" sqref="C6:C105 C110:C170 C174:C213 C217:C256" xr:uid="{00000000-0002-0000-0200-000000000000}">
      <formula1>"Maternelle,Maternelle P1,Maternelle P2,Maternelle P3,CM2,4eme,5eme,3eme,6eme,Autre"</formula1>
      <formula2>0</formula2>
    </dataValidation>
    <dataValidation type="list" allowBlank="1" sqref="L6:L105 L110:L170 L174:L213 L217:L256" xr:uid="{00000000-0002-0000-0200-000001000000}">
      <formula1>"0,0.1,0.15,0.2"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56"/>
  <sheetViews>
    <sheetView zoomScaleNormal="100" workbookViewId="0">
      <pane ySplit="3" topLeftCell="A4" activePane="bottomLeft" state="frozen"/>
      <selection pane="bottomLeft" activeCell="A12" sqref="A12"/>
    </sheetView>
  </sheetViews>
  <sheetFormatPr defaultColWidth="8.5703125" defaultRowHeight="15" x14ac:dyDescent="0.25"/>
  <cols>
    <col min="1" max="1" width="12.7109375" style="188" customWidth="1"/>
    <col min="2" max="2" width="28" style="188" customWidth="1"/>
    <col min="3" max="3" width="12" style="188" customWidth="1"/>
    <col min="4" max="4" width="10" style="188" customWidth="1"/>
    <col min="5" max="14" width="7" style="188" customWidth="1"/>
    <col min="15" max="15" width="10" style="188" customWidth="1"/>
    <col min="16" max="16" width="9" style="188" customWidth="1"/>
    <col min="17" max="17" width="12" style="188" customWidth="1"/>
  </cols>
  <sheetData>
    <row r="1" spans="1:17" ht="24" customHeight="1" x14ac:dyDescent="0.25">
      <c r="A1" s="251" t="s">
        <v>123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</row>
    <row r="2" spans="1:17" ht="15" customHeight="1" x14ac:dyDescent="0.25">
      <c r="A2" s="248" t="s">
        <v>124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</row>
    <row r="4" spans="1:17" ht="18" customHeight="1" x14ac:dyDescent="0.25">
      <c r="A4" s="252" t="s">
        <v>125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</row>
    <row r="5" spans="1:17" ht="21.75" customHeight="1" x14ac:dyDescent="0.25">
      <c r="A5" s="31" t="s">
        <v>64</v>
      </c>
      <c r="B5" s="31" t="s">
        <v>65</v>
      </c>
      <c r="C5" s="31" t="s">
        <v>66</v>
      </c>
      <c r="D5" s="31" t="s">
        <v>126</v>
      </c>
      <c r="E5" s="31" t="s">
        <v>127</v>
      </c>
      <c r="F5" s="31" t="s">
        <v>128</v>
      </c>
      <c r="G5" s="31" t="s">
        <v>129</v>
      </c>
      <c r="H5" s="31" t="s">
        <v>130</v>
      </c>
      <c r="I5" s="31" t="s">
        <v>131</v>
      </c>
      <c r="J5" s="31" t="s">
        <v>132</v>
      </c>
      <c r="K5" s="31" t="s">
        <v>133</v>
      </c>
      <c r="L5" s="31" t="s">
        <v>134</v>
      </c>
      <c r="M5" s="31" t="s">
        <v>135</v>
      </c>
      <c r="N5" s="31" t="s">
        <v>136</v>
      </c>
      <c r="O5" s="31" t="s">
        <v>137</v>
      </c>
      <c r="P5" s="31" t="s">
        <v>138</v>
      </c>
      <c r="Q5" s="31" t="s">
        <v>139</v>
      </c>
    </row>
    <row r="6" spans="1:17" ht="15" customHeight="1" x14ac:dyDescent="0.25">
      <c r="A6" s="184" t="str">
        <f>IF('Controlo de Propinas'!A6="","",'Controlo de Propinas'!A6)</f>
        <v>P1-01</v>
      </c>
      <c r="B6" s="184" t="str">
        <f>IF('Controlo de Propinas'!B6="","",'Controlo de Propinas'!B6)</f>
        <v>Hazail Epandi Calei da Costa</v>
      </c>
      <c r="C6" s="184" t="str">
        <f>IF('Controlo de Propinas'!C6="","",'Controlo de Propinas'!C6)</f>
        <v>Maternelle</v>
      </c>
      <c r="D6" s="51">
        <f t="shared" ref="D6:D37" si="0">IF(C6="","",IF(OR(C6="Maternelle",C6="Maternelle P1",C6="Maternelle P2",C6="Maternelle P3"),170000,IF(C6="CM2",250000,IF(C6="4eme",260000,170000))))</f>
        <v>170000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1">
        <f t="shared" ref="O6:O37" si="1">IF(B6="","",SUM(E6:N6))</f>
        <v>0</v>
      </c>
      <c r="P6" s="53" t="str">
        <f t="shared" ref="P6:P37" si="2">IF(B6="","",IF(O6=0,"Pendente",IF(O6&lt;D6,"Parcial","Pago")))</f>
        <v>Pendente</v>
      </c>
      <c r="Q6" s="54"/>
    </row>
    <row r="7" spans="1:17" ht="15" customHeight="1" x14ac:dyDescent="0.25">
      <c r="A7" s="184" t="str">
        <f>IF('Controlo de Propinas'!A7="","",'Controlo de Propinas'!A7)</f>
        <v>P1-02</v>
      </c>
      <c r="B7" s="184" t="str">
        <f>IF('Controlo de Propinas'!B7="","",'Controlo de Propinas'!B7)</f>
        <v>Erick Libânio Sebastião da Silva</v>
      </c>
      <c r="C7" s="184" t="str">
        <f>IF('Controlo de Propinas'!C7="","",'Controlo de Propinas'!C7)</f>
        <v>Maternelle P1</v>
      </c>
      <c r="D7" s="51">
        <f t="shared" si="0"/>
        <v>170000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1">
        <f t="shared" si="1"/>
        <v>0</v>
      </c>
      <c r="P7" s="53" t="str">
        <f t="shared" si="2"/>
        <v>Pendente</v>
      </c>
      <c r="Q7" s="54"/>
    </row>
    <row r="8" spans="1:17" ht="15" customHeight="1" x14ac:dyDescent="0.25">
      <c r="A8" s="184" t="str">
        <f>IF('Controlo de Propinas'!A8="","",'Controlo de Propinas'!A8)</f>
        <v>P2-03</v>
      </c>
      <c r="B8" s="184" t="str">
        <f>IF('Controlo de Propinas'!B8="","",'Controlo de Propinas'!B8)</f>
        <v>Eloa Marina Sebastião da Silva</v>
      </c>
      <c r="C8" s="184" t="str">
        <f>IF('Controlo de Propinas'!C8="","",'Controlo de Propinas'!C8)</f>
        <v>Maternelle P2</v>
      </c>
      <c r="D8" s="51">
        <f t="shared" si="0"/>
        <v>170000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1">
        <f t="shared" si="1"/>
        <v>0</v>
      </c>
      <c r="P8" s="53" t="str">
        <f t="shared" si="2"/>
        <v>Pendente</v>
      </c>
      <c r="Q8" s="54"/>
    </row>
    <row r="9" spans="1:17" ht="15" customHeight="1" x14ac:dyDescent="0.25">
      <c r="A9" s="184" t="str">
        <f>IF('Controlo de Propinas'!A9="","",'Controlo de Propinas'!A9)</f>
        <v>P2-04</v>
      </c>
      <c r="B9" s="184" t="str">
        <f>IF('Controlo de Propinas'!B9="","",'Controlo de Propinas'!B9)</f>
        <v>Ivander Trindade Bernardo Clementino</v>
      </c>
      <c r="C9" s="184" t="str">
        <f>IF('Controlo de Propinas'!C9="","",'Controlo de Propinas'!C9)</f>
        <v>Maternelle P2</v>
      </c>
      <c r="D9" s="51">
        <f t="shared" si="0"/>
        <v>170000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1">
        <f t="shared" si="1"/>
        <v>0</v>
      </c>
      <c r="P9" s="53" t="str">
        <f t="shared" si="2"/>
        <v>Pendente</v>
      </c>
      <c r="Q9" s="54"/>
    </row>
    <row r="10" spans="1:17" ht="15" customHeight="1" x14ac:dyDescent="0.25">
      <c r="A10" s="184" t="str">
        <f>IF('Controlo de Propinas'!A10="","",'Controlo de Propinas'!A10)</f>
        <v>P3-05</v>
      </c>
      <c r="B10" s="184" t="str">
        <f>IF('Controlo de Propinas'!B10="","",'Controlo de Propinas'!B10)</f>
        <v>Gael Hanji Ventura Quimbundo</v>
      </c>
      <c r="C10" s="184" t="str">
        <f>IF('Controlo de Propinas'!C10="","",'Controlo de Propinas'!C10)</f>
        <v>Maternelle P3</v>
      </c>
      <c r="D10" s="51">
        <f t="shared" si="0"/>
        <v>170000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1">
        <f t="shared" si="1"/>
        <v>0</v>
      </c>
      <c r="P10" s="53" t="str">
        <f t="shared" si="2"/>
        <v>Pendente</v>
      </c>
      <c r="Q10" s="54"/>
    </row>
    <row r="11" spans="1:17" ht="15" customHeight="1" x14ac:dyDescent="0.25">
      <c r="A11" s="184" t="str">
        <f>IF('Controlo de Propinas'!A11="","",'Controlo de Propinas'!A11)</f>
        <v>P3-06</v>
      </c>
      <c r="B11" s="184" t="str">
        <f>IF('Controlo de Propinas'!B11="","",'Controlo de Propinas'!B11)</f>
        <v>Ivanna Chayane Bernardo Clementino</v>
      </c>
      <c r="C11" s="184" t="str">
        <f>IF('Controlo de Propinas'!C11="","",'Controlo de Propinas'!C11)</f>
        <v>Maternelle P3</v>
      </c>
      <c r="D11" s="51">
        <f t="shared" si="0"/>
        <v>170000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1">
        <f t="shared" si="1"/>
        <v>0</v>
      </c>
      <c r="P11" s="53" t="str">
        <f t="shared" si="2"/>
        <v>Pendente</v>
      </c>
      <c r="Q11" s="54"/>
    </row>
    <row r="12" spans="1:17" ht="15" customHeight="1" x14ac:dyDescent="0.25">
      <c r="A12" s="184" t="str">
        <f>IF('Controlo de Propinas'!A12="","",'Controlo de Propinas'!A12)</f>
        <v>P3-07</v>
      </c>
      <c r="B12" s="184" t="str">
        <f>IF('Controlo de Propinas'!B12="","",'Controlo de Propinas'!B12)</f>
        <v>Wendy Aryanne Chimuco Sabino</v>
      </c>
      <c r="C12" s="184" t="str">
        <f>IF('Controlo de Propinas'!C12="","",'Controlo de Propinas'!C12)</f>
        <v>Maternelle P3</v>
      </c>
      <c r="D12" s="51">
        <f t="shared" si="0"/>
        <v>170000</v>
      </c>
      <c r="E12" s="55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1">
        <f t="shared" si="1"/>
        <v>0</v>
      </c>
      <c r="P12" s="53" t="str">
        <f t="shared" si="2"/>
        <v>Pendente</v>
      </c>
      <c r="Q12" s="54"/>
    </row>
    <row r="13" spans="1:17" ht="15" customHeight="1" x14ac:dyDescent="0.25">
      <c r="A13" s="184" t="str">
        <f>IF('Controlo de Propinas'!A13="","",'Controlo de Propinas'!A13)</f>
        <v>P1-08</v>
      </c>
      <c r="B13" s="184" t="str">
        <f>IF('Controlo de Propinas'!B13="","",'Controlo de Propinas'!B13)</f>
        <v>Kesane Aimé Teixeira Correia de Azevedo</v>
      </c>
      <c r="C13" s="184" t="str">
        <f>IF('Controlo de Propinas'!C13="","",'Controlo de Propinas'!C13)</f>
        <v>Maternelle P1</v>
      </c>
      <c r="D13" s="51">
        <f t="shared" si="0"/>
        <v>170000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1">
        <f t="shared" si="1"/>
        <v>0</v>
      </c>
      <c r="P13" s="53" t="str">
        <f t="shared" si="2"/>
        <v>Pendente</v>
      </c>
      <c r="Q13" s="54"/>
    </row>
    <row r="14" spans="1:17" ht="15" customHeight="1" x14ac:dyDescent="0.25">
      <c r="A14" s="184" t="str">
        <f>IF('Controlo de Propinas'!A14="","",'Controlo de Propinas'!A14)</f>
        <v>P3-09</v>
      </c>
      <c r="B14" s="184" t="str">
        <f>IF('Controlo de Propinas'!B14="","",'Controlo de Propinas'!B14)</f>
        <v>Kuami Hazael Francisco Venâncio</v>
      </c>
      <c r="C14" s="184" t="str">
        <f>IF('Controlo de Propinas'!C14="","",'Controlo de Propinas'!C14)</f>
        <v>Maternelle P3</v>
      </c>
      <c r="D14" s="51">
        <f t="shared" si="0"/>
        <v>170000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1">
        <f t="shared" si="1"/>
        <v>0</v>
      </c>
      <c r="P14" s="53" t="str">
        <f t="shared" si="2"/>
        <v>Pendente</v>
      </c>
      <c r="Q14" s="54"/>
    </row>
    <row r="15" spans="1:17" ht="15" customHeight="1" x14ac:dyDescent="0.25">
      <c r="A15" s="184" t="str">
        <f>IF('Controlo de Propinas'!A15="","",'Controlo de Propinas'!A15)</f>
        <v/>
      </c>
      <c r="B15" s="184" t="str">
        <f>IF('Controlo de Propinas'!B15="","",'Controlo de Propinas'!B15)</f>
        <v/>
      </c>
      <c r="C15" s="184" t="str">
        <f>IF('Controlo de Propinas'!C15="","",'Controlo de Propinas'!C15)</f>
        <v/>
      </c>
      <c r="D15" s="51" t="str">
        <f t="shared" si="0"/>
        <v/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1" t="str">
        <f t="shared" si="1"/>
        <v/>
      </c>
      <c r="P15" s="53" t="str">
        <f t="shared" si="2"/>
        <v/>
      </c>
      <c r="Q15" s="54"/>
    </row>
    <row r="16" spans="1:17" ht="15" customHeight="1" x14ac:dyDescent="0.25">
      <c r="A16" s="184" t="str">
        <f>IF('Controlo de Propinas'!A16="","",'Controlo de Propinas'!A16)</f>
        <v/>
      </c>
      <c r="B16" s="184" t="str">
        <f>IF('Controlo de Propinas'!B16="","",'Controlo de Propinas'!B16)</f>
        <v/>
      </c>
      <c r="C16" s="184" t="str">
        <f>IF('Controlo de Propinas'!C16="","",'Controlo de Propinas'!C16)</f>
        <v/>
      </c>
      <c r="D16" s="51" t="str">
        <f t="shared" si="0"/>
        <v/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1" t="str">
        <f t="shared" si="1"/>
        <v/>
      </c>
      <c r="P16" s="53" t="str">
        <f t="shared" si="2"/>
        <v/>
      </c>
      <c r="Q16" s="54"/>
    </row>
    <row r="17" spans="1:17" ht="15" customHeight="1" x14ac:dyDescent="0.25">
      <c r="A17" s="184" t="str">
        <f>IF('Controlo de Propinas'!A17="","",'Controlo de Propinas'!A17)</f>
        <v/>
      </c>
      <c r="B17" s="184" t="str">
        <f>IF('Controlo de Propinas'!B17="","",'Controlo de Propinas'!B17)</f>
        <v/>
      </c>
      <c r="C17" s="184" t="str">
        <f>IF('Controlo de Propinas'!C17="","",'Controlo de Propinas'!C17)</f>
        <v/>
      </c>
      <c r="D17" s="51" t="str">
        <f t="shared" si="0"/>
        <v/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1" t="str">
        <f t="shared" si="1"/>
        <v/>
      </c>
      <c r="P17" s="53" t="str">
        <f t="shared" si="2"/>
        <v/>
      </c>
      <c r="Q17" s="54"/>
    </row>
    <row r="18" spans="1:17" ht="15" customHeight="1" x14ac:dyDescent="0.25">
      <c r="A18" s="184" t="str">
        <f>IF('Controlo de Propinas'!A18="","",'Controlo de Propinas'!A18)</f>
        <v/>
      </c>
      <c r="B18" s="184" t="str">
        <f>IF('Controlo de Propinas'!B18="","",'Controlo de Propinas'!B18)</f>
        <v/>
      </c>
      <c r="C18" s="184" t="str">
        <f>IF('Controlo de Propinas'!C18="","",'Controlo de Propinas'!C18)</f>
        <v/>
      </c>
      <c r="D18" s="51" t="str">
        <f t="shared" si="0"/>
        <v/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1" t="str">
        <f t="shared" si="1"/>
        <v/>
      </c>
      <c r="P18" s="53" t="str">
        <f t="shared" si="2"/>
        <v/>
      </c>
      <c r="Q18" s="54"/>
    </row>
    <row r="19" spans="1:17" ht="15" customHeight="1" x14ac:dyDescent="0.25">
      <c r="A19" s="184" t="str">
        <f>IF('Controlo de Propinas'!A19="","",'Controlo de Propinas'!A19)</f>
        <v/>
      </c>
      <c r="B19" s="184" t="str">
        <f>IF('Controlo de Propinas'!B19="","",'Controlo de Propinas'!B19)</f>
        <v/>
      </c>
      <c r="C19" s="184" t="str">
        <f>IF('Controlo de Propinas'!C19="","",'Controlo de Propinas'!C19)</f>
        <v/>
      </c>
      <c r="D19" s="51" t="str">
        <f t="shared" si="0"/>
        <v/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1" t="str">
        <f t="shared" si="1"/>
        <v/>
      </c>
      <c r="P19" s="53" t="str">
        <f t="shared" si="2"/>
        <v/>
      </c>
      <c r="Q19" s="54"/>
    </row>
    <row r="20" spans="1:17" ht="15" customHeight="1" x14ac:dyDescent="0.25">
      <c r="A20" s="184" t="str">
        <f>IF('Controlo de Propinas'!A20="","",'Controlo de Propinas'!A20)</f>
        <v/>
      </c>
      <c r="B20" s="184" t="str">
        <f>IF('Controlo de Propinas'!B20="","",'Controlo de Propinas'!B20)</f>
        <v/>
      </c>
      <c r="C20" s="184" t="str">
        <f>IF('Controlo de Propinas'!C20="","",'Controlo de Propinas'!C20)</f>
        <v/>
      </c>
      <c r="D20" s="51" t="str">
        <f t="shared" si="0"/>
        <v/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1" t="str">
        <f t="shared" si="1"/>
        <v/>
      </c>
      <c r="P20" s="53" t="str">
        <f t="shared" si="2"/>
        <v/>
      </c>
      <c r="Q20" s="54"/>
    </row>
    <row r="21" spans="1:17" ht="15" customHeight="1" x14ac:dyDescent="0.25">
      <c r="A21" s="184" t="str">
        <f>IF('Controlo de Propinas'!A21="","",'Controlo de Propinas'!A21)</f>
        <v/>
      </c>
      <c r="B21" s="184" t="str">
        <f>IF('Controlo de Propinas'!B21="","",'Controlo de Propinas'!B21)</f>
        <v/>
      </c>
      <c r="C21" s="184" t="str">
        <f>IF('Controlo de Propinas'!C21="","",'Controlo de Propinas'!C21)</f>
        <v/>
      </c>
      <c r="D21" s="51" t="str">
        <f t="shared" si="0"/>
        <v/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1" t="str">
        <f t="shared" si="1"/>
        <v/>
      </c>
      <c r="P21" s="53" t="str">
        <f t="shared" si="2"/>
        <v/>
      </c>
      <c r="Q21" s="54"/>
    </row>
    <row r="22" spans="1:17" ht="15" customHeight="1" x14ac:dyDescent="0.25">
      <c r="A22" s="184" t="str">
        <f>IF('Controlo de Propinas'!A22="","",'Controlo de Propinas'!A22)</f>
        <v/>
      </c>
      <c r="B22" s="184" t="str">
        <f>IF('Controlo de Propinas'!B22="","",'Controlo de Propinas'!B22)</f>
        <v/>
      </c>
      <c r="C22" s="184" t="str">
        <f>IF('Controlo de Propinas'!C22="","",'Controlo de Propinas'!C22)</f>
        <v/>
      </c>
      <c r="D22" s="51" t="str">
        <f t="shared" si="0"/>
        <v/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1" t="str">
        <f t="shared" si="1"/>
        <v/>
      </c>
      <c r="P22" s="53" t="str">
        <f t="shared" si="2"/>
        <v/>
      </c>
      <c r="Q22" s="54"/>
    </row>
    <row r="23" spans="1:17" ht="15" customHeight="1" x14ac:dyDescent="0.25">
      <c r="A23" s="184" t="str">
        <f>IF('Controlo de Propinas'!A23="","",'Controlo de Propinas'!A23)</f>
        <v/>
      </c>
      <c r="B23" s="184" t="str">
        <f>IF('Controlo de Propinas'!B23="","",'Controlo de Propinas'!B23)</f>
        <v/>
      </c>
      <c r="C23" s="184" t="str">
        <f>IF('Controlo de Propinas'!C23="","",'Controlo de Propinas'!C23)</f>
        <v/>
      </c>
      <c r="D23" s="51" t="str">
        <f t="shared" si="0"/>
        <v/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1" t="str">
        <f t="shared" si="1"/>
        <v/>
      </c>
      <c r="P23" s="53" t="str">
        <f t="shared" si="2"/>
        <v/>
      </c>
      <c r="Q23" s="54"/>
    </row>
    <row r="24" spans="1:17" ht="15" customHeight="1" x14ac:dyDescent="0.25">
      <c r="A24" s="184" t="str">
        <f>IF('Controlo de Propinas'!A24="","",'Controlo de Propinas'!A24)</f>
        <v/>
      </c>
      <c r="B24" s="184" t="str">
        <f>IF('Controlo de Propinas'!B24="","",'Controlo de Propinas'!B24)</f>
        <v/>
      </c>
      <c r="C24" s="184" t="str">
        <f>IF('Controlo de Propinas'!C24="","",'Controlo de Propinas'!C24)</f>
        <v/>
      </c>
      <c r="D24" s="51" t="str">
        <f t="shared" si="0"/>
        <v/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1" t="str">
        <f t="shared" si="1"/>
        <v/>
      </c>
      <c r="P24" s="53" t="str">
        <f t="shared" si="2"/>
        <v/>
      </c>
      <c r="Q24" s="54"/>
    </row>
    <row r="25" spans="1:17" ht="15" customHeight="1" x14ac:dyDescent="0.25">
      <c r="A25" s="184" t="str">
        <f>IF('Controlo de Propinas'!A25="","",'Controlo de Propinas'!A25)</f>
        <v/>
      </c>
      <c r="B25" s="184" t="str">
        <f>IF('Controlo de Propinas'!B25="","",'Controlo de Propinas'!B25)</f>
        <v/>
      </c>
      <c r="C25" s="184" t="str">
        <f>IF('Controlo de Propinas'!C25="","",'Controlo de Propinas'!C25)</f>
        <v/>
      </c>
      <c r="D25" s="51" t="str">
        <f t="shared" si="0"/>
        <v/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1" t="str">
        <f t="shared" si="1"/>
        <v/>
      </c>
      <c r="P25" s="53" t="str">
        <f t="shared" si="2"/>
        <v/>
      </c>
      <c r="Q25" s="54"/>
    </row>
    <row r="26" spans="1:17" ht="15" customHeight="1" x14ac:dyDescent="0.25">
      <c r="A26" s="184" t="str">
        <f>IF('Controlo de Propinas'!A26="","",'Controlo de Propinas'!A26)</f>
        <v/>
      </c>
      <c r="B26" s="184" t="str">
        <f>IF('Controlo de Propinas'!B26="","",'Controlo de Propinas'!B26)</f>
        <v/>
      </c>
      <c r="C26" s="184" t="str">
        <f>IF('Controlo de Propinas'!C26="","",'Controlo de Propinas'!C26)</f>
        <v/>
      </c>
      <c r="D26" s="51" t="str">
        <f t="shared" si="0"/>
        <v/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1" t="str">
        <f t="shared" si="1"/>
        <v/>
      </c>
      <c r="P26" s="53" t="str">
        <f t="shared" si="2"/>
        <v/>
      </c>
      <c r="Q26" s="54"/>
    </row>
    <row r="27" spans="1:17" ht="15" customHeight="1" x14ac:dyDescent="0.25">
      <c r="A27" s="184" t="str">
        <f>IF('Controlo de Propinas'!A27="","",'Controlo de Propinas'!A27)</f>
        <v/>
      </c>
      <c r="B27" s="184" t="str">
        <f>IF('Controlo de Propinas'!B27="","",'Controlo de Propinas'!B27)</f>
        <v/>
      </c>
      <c r="C27" s="184" t="str">
        <f>IF('Controlo de Propinas'!C27="","",'Controlo de Propinas'!C27)</f>
        <v/>
      </c>
      <c r="D27" s="51" t="str">
        <f t="shared" si="0"/>
        <v/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1" t="str">
        <f t="shared" si="1"/>
        <v/>
      </c>
      <c r="P27" s="53" t="str">
        <f t="shared" si="2"/>
        <v/>
      </c>
      <c r="Q27" s="54"/>
    </row>
    <row r="28" spans="1:17" ht="15" customHeight="1" x14ac:dyDescent="0.25">
      <c r="A28" s="184" t="str">
        <f>IF('Controlo de Propinas'!A28="","",'Controlo de Propinas'!A28)</f>
        <v/>
      </c>
      <c r="B28" s="184" t="str">
        <f>IF('Controlo de Propinas'!B28="","",'Controlo de Propinas'!B28)</f>
        <v/>
      </c>
      <c r="C28" s="184" t="str">
        <f>IF('Controlo de Propinas'!C28="","",'Controlo de Propinas'!C28)</f>
        <v/>
      </c>
      <c r="D28" s="51" t="str">
        <f t="shared" si="0"/>
        <v/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1" t="str">
        <f t="shared" si="1"/>
        <v/>
      </c>
      <c r="P28" s="53" t="str">
        <f t="shared" si="2"/>
        <v/>
      </c>
      <c r="Q28" s="54"/>
    </row>
    <row r="29" spans="1:17" ht="15" customHeight="1" x14ac:dyDescent="0.25">
      <c r="A29" s="184" t="str">
        <f>IF('Controlo de Propinas'!A29="","",'Controlo de Propinas'!A29)</f>
        <v/>
      </c>
      <c r="B29" s="184" t="str">
        <f>IF('Controlo de Propinas'!B29="","",'Controlo de Propinas'!B29)</f>
        <v/>
      </c>
      <c r="C29" s="184" t="str">
        <f>IF('Controlo de Propinas'!C29="","",'Controlo de Propinas'!C29)</f>
        <v/>
      </c>
      <c r="D29" s="51" t="str">
        <f t="shared" si="0"/>
        <v/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1" t="str">
        <f t="shared" si="1"/>
        <v/>
      </c>
      <c r="P29" s="53" t="str">
        <f t="shared" si="2"/>
        <v/>
      </c>
      <c r="Q29" s="54"/>
    </row>
    <row r="30" spans="1:17" ht="15" customHeight="1" x14ac:dyDescent="0.25">
      <c r="A30" s="184" t="str">
        <f>IF('Controlo de Propinas'!A30="","",'Controlo de Propinas'!A30)</f>
        <v/>
      </c>
      <c r="B30" s="184" t="str">
        <f>IF('Controlo de Propinas'!B30="","",'Controlo de Propinas'!B30)</f>
        <v/>
      </c>
      <c r="C30" s="184" t="str">
        <f>IF('Controlo de Propinas'!C30="","",'Controlo de Propinas'!C30)</f>
        <v/>
      </c>
      <c r="D30" s="51" t="str">
        <f t="shared" si="0"/>
        <v/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1" t="str">
        <f t="shared" si="1"/>
        <v/>
      </c>
      <c r="P30" s="53" t="str">
        <f t="shared" si="2"/>
        <v/>
      </c>
      <c r="Q30" s="54"/>
    </row>
    <row r="31" spans="1:17" ht="15" customHeight="1" x14ac:dyDescent="0.25">
      <c r="A31" s="184" t="str">
        <f>IF('Controlo de Propinas'!A31="","",'Controlo de Propinas'!A31)</f>
        <v/>
      </c>
      <c r="B31" s="184" t="str">
        <f>IF('Controlo de Propinas'!B31="","",'Controlo de Propinas'!B31)</f>
        <v/>
      </c>
      <c r="C31" s="184" t="str">
        <f>IF('Controlo de Propinas'!C31="","",'Controlo de Propinas'!C31)</f>
        <v/>
      </c>
      <c r="D31" s="51" t="str">
        <f t="shared" si="0"/>
        <v/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1" t="str">
        <f t="shared" si="1"/>
        <v/>
      </c>
      <c r="P31" s="53" t="str">
        <f t="shared" si="2"/>
        <v/>
      </c>
      <c r="Q31" s="54"/>
    </row>
    <row r="32" spans="1:17" ht="15" customHeight="1" x14ac:dyDescent="0.25">
      <c r="A32" s="184" t="str">
        <f>IF('Controlo de Propinas'!A32="","",'Controlo de Propinas'!A32)</f>
        <v/>
      </c>
      <c r="B32" s="184" t="str">
        <f>IF('Controlo de Propinas'!B32="","",'Controlo de Propinas'!B32)</f>
        <v/>
      </c>
      <c r="C32" s="184" t="str">
        <f>IF('Controlo de Propinas'!C32="","",'Controlo de Propinas'!C32)</f>
        <v/>
      </c>
      <c r="D32" s="51" t="str">
        <f t="shared" si="0"/>
        <v/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1" t="str">
        <f t="shared" si="1"/>
        <v/>
      </c>
      <c r="P32" s="53" t="str">
        <f t="shared" si="2"/>
        <v/>
      </c>
      <c r="Q32" s="54"/>
    </row>
    <row r="33" spans="1:17" ht="15" customHeight="1" x14ac:dyDescent="0.25">
      <c r="A33" s="184" t="str">
        <f>IF('Controlo de Propinas'!A33="","",'Controlo de Propinas'!A33)</f>
        <v/>
      </c>
      <c r="B33" s="184" t="str">
        <f>IF('Controlo de Propinas'!B33="","",'Controlo de Propinas'!B33)</f>
        <v/>
      </c>
      <c r="C33" s="184" t="str">
        <f>IF('Controlo de Propinas'!C33="","",'Controlo de Propinas'!C33)</f>
        <v/>
      </c>
      <c r="D33" s="51" t="str">
        <f t="shared" si="0"/>
        <v/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1" t="str">
        <f t="shared" si="1"/>
        <v/>
      </c>
      <c r="P33" s="53" t="str">
        <f t="shared" si="2"/>
        <v/>
      </c>
      <c r="Q33" s="54"/>
    </row>
    <row r="34" spans="1:17" ht="15" customHeight="1" x14ac:dyDescent="0.25">
      <c r="A34" s="184" t="str">
        <f>IF('Controlo de Propinas'!A34="","",'Controlo de Propinas'!A34)</f>
        <v/>
      </c>
      <c r="B34" s="184" t="str">
        <f>IF('Controlo de Propinas'!B34="","",'Controlo de Propinas'!B34)</f>
        <v/>
      </c>
      <c r="C34" s="184" t="str">
        <f>IF('Controlo de Propinas'!C34="","",'Controlo de Propinas'!C34)</f>
        <v/>
      </c>
      <c r="D34" s="51" t="str">
        <f t="shared" si="0"/>
        <v/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1" t="str">
        <f t="shared" si="1"/>
        <v/>
      </c>
      <c r="P34" s="53" t="str">
        <f t="shared" si="2"/>
        <v/>
      </c>
      <c r="Q34" s="54"/>
    </row>
    <row r="35" spans="1:17" ht="15" customHeight="1" x14ac:dyDescent="0.25">
      <c r="A35" s="184" t="str">
        <f>IF('Controlo de Propinas'!A35="","",'Controlo de Propinas'!A35)</f>
        <v/>
      </c>
      <c r="B35" s="184" t="str">
        <f>IF('Controlo de Propinas'!B35="","",'Controlo de Propinas'!B35)</f>
        <v/>
      </c>
      <c r="C35" s="184" t="str">
        <f>IF('Controlo de Propinas'!C35="","",'Controlo de Propinas'!C35)</f>
        <v/>
      </c>
      <c r="D35" s="51" t="str">
        <f t="shared" si="0"/>
        <v/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1" t="str">
        <f t="shared" si="1"/>
        <v/>
      </c>
      <c r="P35" s="53" t="str">
        <f t="shared" si="2"/>
        <v/>
      </c>
      <c r="Q35" s="54"/>
    </row>
    <row r="36" spans="1:17" ht="15" customHeight="1" x14ac:dyDescent="0.25">
      <c r="A36" s="184" t="str">
        <f>IF('Controlo de Propinas'!A36="","",'Controlo de Propinas'!A36)</f>
        <v/>
      </c>
      <c r="B36" s="184" t="str">
        <f>IF('Controlo de Propinas'!B36="","",'Controlo de Propinas'!B36)</f>
        <v/>
      </c>
      <c r="C36" s="184" t="str">
        <f>IF('Controlo de Propinas'!C36="","",'Controlo de Propinas'!C36)</f>
        <v/>
      </c>
      <c r="D36" s="51" t="str">
        <f t="shared" si="0"/>
        <v/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1" t="str">
        <f t="shared" si="1"/>
        <v/>
      </c>
      <c r="P36" s="53" t="str">
        <f t="shared" si="2"/>
        <v/>
      </c>
      <c r="Q36" s="54"/>
    </row>
    <row r="37" spans="1:17" ht="15" customHeight="1" x14ac:dyDescent="0.25">
      <c r="A37" s="184" t="str">
        <f>IF('Controlo de Propinas'!A37="","",'Controlo de Propinas'!A37)</f>
        <v/>
      </c>
      <c r="B37" s="184" t="str">
        <f>IF('Controlo de Propinas'!B37="","",'Controlo de Propinas'!B37)</f>
        <v/>
      </c>
      <c r="C37" s="184" t="str">
        <f>IF('Controlo de Propinas'!C37="","",'Controlo de Propinas'!C37)</f>
        <v/>
      </c>
      <c r="D37" s="51" t="str">
        <f t="shared" si="0"/>
        <v/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1" t="str">
        <f t="shared" si="1"/>
        <v/>
      </c>
      <c r="P37" s="53" t="str">
        <f t="shared" si="2"/>
        <v/>
      </c>
      <c r="Q37" s="54"/>
    </row>
    <row r="38" spans="1:17" ht="15" customHeight="1" x14ac:dyDescent="0.25">
      <c r="A38" s="184" t="str">
        <f>IF('Controlo de Propinas'!A38="","",'Controlo de Propinas'!A38)</f>
        <v/>
      </c>
      <c r="B38" s="184" t="str">
        <f>IF('Controlo de Propinas'!B38="","",'Controlo de Propinas'!B38)</f>
        <v/>
      </c>
      <c r="C38" s="184" t="str">
        <f>IF('Controlo de Propinas'!C38="","",'Controlo de Propinas'!C38)</f>
        <v/>
      </c>
      <c r="D38" s="51" t="str">
        <f t="shared" ref="D38:D69" si="3">IF(C38="","",IF(OR(C38="Maternelle",C38="Maternelle P1",C38="Maternelle P2",C38="Maternelle P3"),170000,IF(C38="CM2",250000,IF(C38="4eme",260000,170000))))</f>
        <v/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1" t="str">
        <f t="shared" ref="O38:O69" si="4">IF(B38="","",SUM(E38:N38))</f>
        <v/>
      </c>
      <c r="P38" s="53" t="str">
        <f t="shared" ref="P38:P69" si="5">IF(B38="","",IF(O38=0,"Pendente",IF(O38&lt;D38,"Parcial","Pago")))</f>
        <v/>
      </c>
      <c r="Q38" s="54"/>
    </row>
    <row r="39" spans="1:17" ht="15" customHeight="1" x14ac:dyDescent="0.25">
      <c r="A39" s="184" t="str">
        <f>IF('Controlo de Propinas'!A39="","",'Controlo de Propinas'!A39)</f>
        <v/>
      </c>
      <c r="B39" s="184" t="str">
        <f>IF('Controlo de Propinas'!B39="","",'Controlo de Propinas'!B39)</f>
        <v/>
      </c>
      <c r="C39" s="184" t="str">
        <f>IF('Controlo de Propinas'!C39="","",'Controlo de Propinas'!C39)</f>
        <v/>
      </c>
      <c r="D39" s="51" t="str">
        <f t="shared" si="3"/>
        <v/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1" t="str">
        <f t="shared" si="4"/>
        <v/>
      </c>
      <c r="P39" s="53" t="str">
        <f t="shared" si="5"/>
        <v/>
      </c>
      <c r="Q39" s="54"/>
    </row>
    <row r="40" spans="1:17" ht="15" customHeight="1" x14ac:dyDescent="0.25">
      <c r="A40" s="184" t="str">
        <f>IF('Controlo de Propinas'!A40="","",'Controlo de Propinas'!A40)</f>
        <v/>
      </c>
      <c r="B40" s="184" t="str">
        <f>IF('Controlo de Propinas'!B40="","",'Controlo de Propinas'!B40)</f>
        <v/>
      </c>
      <c r="C40" s="184" t="str">
        <f>IF('Controlo de Propinas'!C40="","",'Controlo de Propinas'!C40)</f>
        <v/>
      </c>
      <c r="D40" s="51" t="str">
        <f t="shared" si="3"/>
        <v/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1" t="str">
        <f t="shared" si="4"/>
        <v/>
      </c>
      <c r="P40" s="53" t="str">
        <f t="shared" si="5"/>
        <v/>
      </c>
      <c r="Q40" s="54"/>
    </row>
    <row r="41" spans="1:17" ht="15" customHeight="1" x14ac:dyDescent="0.25">
      <c r="A41" s="184" t="str">
        <f>IF('Controlo de Propinas'!A41="","",'Controlo de Propinas'!A41)</f>
        <v/>
      </c>
      <c r="B41" s="184" t="str">
        <f>IF('Controlo de Propinas'!B41="","",'Controlo de Propinas'!B41)</f>
        <v/>
      </c>
      <c r="C41" s="184" t="str">
        <f>IF('Controlo de Propinas'!C41="","",'Controlo de Propinas'!C41)</f>
        <v/>
      </c>
      <c r="D41" s="51" t="str">
        <f t="shared" si="3"/>
        <v/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1" t="str">
        <f t="shared" si="4"/>
        <v/>
      </c>
      <c r="P41" s="53" t="str">
        <f t="shared" si="5"/>
        <v/>
      </c>
      <c r="Q41" s="54"/>
    </row>
    <row r="42" spans="1:17" ht="15" customHeight="1" x14ac:dyDescent="0.25">
      <c r="A42" s="184" t="str">
        <f>IF('Controlo de Propinas'!A42="","",'Controlo de Propinas'!A42)</f>
        <v/>
      </c>
      <c r="B42" s="184" t="str">
        <f>IF('Controlo de Propinas'!B42="","",'Controlo de Propinas'!B42)</f>
        <v/>
      </c>
      <c r="C42" s="184" t="str">
        <f>IF('Controlo de Propinas'!C42="","",'Controlo de Propinas'!C42)</f>
        <v/>
      </c>
      <c r="D42" s="51" t="str">
        <f t="shared" si="3"/>
        <v/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1" t="str">
        <f t="shared" si="4"/>
        <v/>
      </c>
      <c r="P42" s="53" t="str">
        <f t="shared" si="5"/>
        <v/>
      </c>
      <c r="Q42" s="54"/>
    </row>
    <row r="43" spans="1:17" ht="15" customHeight="1" x14ac:dyDescent="0.25">
      <c r="A43" s="184" t="str">
        <f>IF('Controlo de Propinas'!A43="","",'Controlo de Propinas'!A43)</f>
        <v/>
      </c>
      <c r="B43" s="184" t="str">
        <f>IF('Controlo de Propinas'!B43="","",'Controlo de Propinas'!B43)</f>
        <v/>
      </c>
      <c r="C43" s="184" t="str">
        <f>IF('Controlo de Propinas'!C43="","",'Controlo de Propinas'!C43)</f>
        <v/>
      </c>
      <c r="D43" s="51" t="str">
        <f t="shared" si="3"/>
        <v/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1" t="str">
        <f t="shared" si="4"/>
        <v/>
      </c>
      <c r="P43" s="53" t="str">
        <f t="shared" si="5"/>
        <v/>
      </c>
      <c r="Q43" s="54"/>
    </row>
    <row r="44" spans="1:17" ht="15" customHeight="1" x14ac:dyDescent="0.25">
      <c r="A44" s="184" t="str">
        <f>IF('Controlo de Propinas'!A44="","",'Controlo de Propinas'!A44)</f>
        <v/>
      </c>
      <c r="B44" s="184" t="str">
        <f>IF('Controlo de Propinas'!B44="","",'Controlo de Propinas'!B44)</f>
        <v/>
      </c>
      <c r="C44" s="184" t="str">
        <f>IF('Controlo de Propinas'!C44="","",'Controlo de Propinas'!C44)</f>
        <v/>
      </c>
      <c r="D44" s="51" t="str">
        <f t="shared" si="3"/>
        <v/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1" t="str">
        <f t="shared" si="4"/>
        <v/>
      </c>
      <c r="P44" s="53" t="str">
        <f t="shared" si="5"/>
        <v/>
      </c>
      <c r="Q44" s="54"/>
    </row>
    <row r="45" spans="1:17" ht="15" customHeight="1" x14ac:dyDescent="0.25">
      <c r="A45" s="184" t="str">
        <f>IF('Controlo de Propinas'!A45="","",'Controlo de Propinas'!A45)</f>
        <v/>
      </c>
      <c r="B45" s="184" t="str">
        <f>IF('Controlo de Propinas'!B45="","",'Controlo de Propinas'!B45)</f>
        <v/>
      </c>
      <c r="C45" s="184" t="str">
        <f>IF('Controlo de Propinas'!C45="","",'Controlo de Propinas'!C45)</f>
        <v/>
      </c>
      <c r="D45" s="51" t="str">
        <f t="shared" si="3"/>
        <v/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1" t="str">
        <f t="shared" si="4"/>
        <v/>
      </c>
      <c r="P45" s="53" t="str">
        <f t="shared" si="5"/>
        <v/>
      </c>
      <c r="Q45" s="54"/>
    </row>
    <row r="46" spans="1:17" ht="15" customHeight="1" x14ac:dyDescent="0.25">
      <c r="A46" s="184" t="str">
        <f>IF('Controlo de Propinas'!A46="","",'Controlo de Propinas'!A46)</f>
        <v/>
      </c>
      <c r="B46" s="184" t="str">
        <f>IF('Controlo de Propinas'!B46="","",'Controlo de Propinas'!B46)</f>
        <v/>
      </c>
      <c r="C46" s="184" t="str">
        <f>IF('Controlo de Propinas'!C46="","",'Controlo de Propinas'!C46)</f>
        <v/>
      </c>
      <c r="D46" s="51" t="str">
        <f t="shared" si="3"/>
        <v/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1" t="str">
        <f t="shared" si="4"/>
        <v/>
      </c>
      <c r="P46" s="53" t="str">
        <f t="shared" si="5"/>
        <v/>
      </c>
      <c r="Q46" s="54"/>
    </row>
    <row r="47" spans="1:17" ht="15" customHeight="1" x14ac:dyDescent="0.25">
      <c r="A47" s="184" t="str">
        <f>IF('Controlo de Propinas'!A47="","",'Controlo de Propinas'!A47)</f>
        <v/>
      </c>
      <c r="B47" s="184" t="str">
        <f>IF('Controlo de Propinas'!B47="","",'Controlo de Propinas'!B47)</f>
        <v/>
      </c>
      <c r="C47" s="184" t="str">
        <f>IF('Controlo de Propinas'!C47="","",'Controlo de Propinas'!C47)</f>
        <v/>
      </c>
      <c r="D47" s="51" t="str">
        <f t="shared" si="3"/>
        <v/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1" t="str">
        <f t="shared" si="4"/>
        <v/>
      </c>
      <c r="P47" s="53" t="str">
        <f t="shared" si="5"/>
        <v/>
      </c>
      <c r="Q47" s="54"/>
    </row>
    <row r="48" spans="1:17" ht="15" customHeight="1" x14ac:dyDescent="0.25">
      <c r="A48" s="184" t="str">
        <f>IF('Controlo de Propinas'!A48="","",'Controlo de Propinas'!A48)</f>
        <v/>
      </c>
      <c r="B48" s="184" t="str">
        <f>IF('Controlo de Propinas'!B48="","",'Controlo de Propinas'!B48)</f>
        <v/>
      </c>
      <c r="C48" s="184" t="str">
        <f>IF('Controlo de Propinas'!C48="","",'Controlo de Propinas'!C48)</f>
        <v/>
      </c>
      <c r="D48" s="51" t="str">
        <f t="shared" si="3"/>
        <v/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1" t="str">
        <f t="shared" si="4"/>
        <v/>
      </c>
      <c r="P48" s="53" t="str">
        <f t="shared" si="5"/>
        <v/>
      </c>
      <c r="Q48" s="54"/>
    </row>
    <row r="49" spans="1:17" ht="15" customHeight="1" x14ac:dyDescent="0.25">
      <c r="A49" s="184" t="str">
        <f>IF('Controlo de Propinas'!A49="","",'Controlo de Propinas'!A49)</f>
        <v/>
      </c>
      <c r="B49" s="184" t="str">
        <f>IF('Controlo de Propinas'!B49="","",'Controlo de Propinas'!B49)</f>
        <v/>
      </c>
      <c r="C49" s="184" t="str">
        <f>IF('Controlo de Propinas'!C49="","",'Controlo de Propinas'!C49)</f>
        <v/>
      </c>
      <c r="D49" s="51" t="str">
        <f t="shared" si="3"/>
        <v/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1" t="str">
        <f t="shared" si="4"/>
        <v/>
      </c>
      <c r="P49" s="53" t="str">
        <f t="shared" si="5"/>
        <v/>
      </c>
      <c r="Q49" s="54"/>
    </row>
    <row r="50" spans="1:17" ht="15" customHeight="1" x14ac:dyDescent="0.25">
      <c r="A50" s="184" t="str">
        <f>IF('Controlo de Propinas'!A50="","",'Controlo de Propinas'!A50)</f>
        <v/>
      </c>
      <c r="B50" s="184" t="str">
        <f>IF('Controlo de Propinas'!B50="","",'Controlo de Propinas'!B50)</f>
        <v/>
      </c>
      <c r="C50" s="184" t="str">
        <f>IF('Controlo de Propinas'!C50="","",'Controlo de Propinas'!C50)</f>
        <v/>
      </c>
      <c r="D50" s="51" t="str">
        <f t="shared" si="3"/>
        <v/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1" t="str">
        <f t="shared" si="4"/>
        <v/>
      </c>
      <c r="P50" s="53" t="str">
        <f t="shared" si="5"/>
        <v/>
      </c>
      <c r="Q50" s="54"/>
    </row>
    <row r="51" spans="1:17" ht="15" customHeight="1" x14ac:dyDescent="0.25">
      <c r="A51" s="184" t="str">
        <f>IF('Controlo de Propinas'!A51="","",'Controlo de Propinas'!A51)</f>
        <v/>
      </c>
      <c r="B51" s="184" t="str">
        <f>IF('Controlo de Propinas'!B51="","",'Controlo de Propinas'!B51)</f>
        <v/>
      </c>
      <c r="C51" s="184" t="str">
        <f>IF('Controlo de Propinas'!C51="","",'Controlo de Propinas'!C51)</f>
        <v/>
      </c>
      <c r="D51" s="51" t="str">
        <f t="shared" si="3"/>
        <v/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1" t="str">
        <f t="shared" si="4"/>
        <v/>
      </c>
      <c r="P51" s="53" t="str">
        <f t="shared" si="5"/>
        <v/>
      </c>
      <c r="Q51" s="54"/>
    </row>
    <row r="52" spans="1:17" ht="15" customHeight="1" x14ac:dyDescent="0.25">
      <c r="A52" s="184" t="str">
        <f>IF('Controlo de Propinas'!A52="","",'Controlo de Propinas'!A52)</f>
        <v/>
      </c>
      <c r="B52" s="184" t="str">
        <f>IF('Controlo de Propinas'!B52="","",'Controlo de Propinas'!B52)</f>
        <v/>
      </c>
      <c r="C52" s="184" t="str">
        <f>IF('Controlo de Propinas'!C52="","",'Controlo de Propinas'!C52)</f>
        <v/>
      </c>
      <c r="D52" s="51" t="str">
        <f t="shared" si="3"/>
        <v/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1" t="str">
        <f t="shared" si="4"/>
        <v/>
      </c>
      <c r="P52" s="53" t="str">
        <f t="shared" si="5"/>
        <v/>
      </c>
      <c r="Q52" s="54"/>
    </row>
    <row r="53" spans="1:17" ht="15" customHeight="1" x14ac:dyDescent="0.25">
      <c r="A53" s="184" t="str">
        <f>IF('Controlo de Propinas'!A53="","",'Controlo de Propinas'!A53)</f>
        <v/>
      </c>
      <c r="B53" s="184" t="str">
        <f>IF('Controlo de Propinas'!B53="","",'Controlo de Propinas'!B53)</f>
        <v/>
      </c>
      <c r="C53" s="184" t="str">
        <f>IF('Controlo de Propinas'!C53="","",'Controlo de Propinas'!C53)</f>
        <v/>
      </c>
      <c r="D53" s="51" t="str">
        <f t="shared" si="3"/>
        <v/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1" t="str">
        <f t="shared" si="4"/>
        <v/>
      </c>
      <c r="P53" s="53" t="str">
        <f t="shared" si="5"/>
        <v/>
      </c>
      <c r="Q53" s="54"/>
    </row>
    <row r="54" spans="1:17" ht="15" customHeight="1" x14ac:dyDescent="0.25">
      <c r="A54" s="184" t="str">
        <f>IF('Controlo de Propinas'!A54="","",'Controlo de Propinas'!A54)</f>
        <v/>
      </c>
      <c r="B54" s="184" t="str">
        <f>IF('Controlo de Propinas'!B54="","",'Controlo de Propinas'!B54)</f>
        <v/>
      </c>
      <c r="C54" s="184" t="str">
        <f>IF('Controlo de Propinas'!C54="","",'Controlo de Propinas'!C54)</f>
        <v/>
      </c>
      <c r="D54" s="51" t="str">
        <f t="shared" si="3"/>
        <v/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1" t="str">
        <f t="shared" si="4"/>
        <v/>
      </c>
      <c r="P54" s="53" t="str">
        <f t="shared" si="5"/>
        <v/>
      </c>
      <c r="Q54" s="54"/>
    </row>
    <row r="55" spans="1:17" ht="15" customHeight="1" x14ac:dyDescent="0.25">
      <c r="A55" s="184" t="str">
        <f>IF('Controlo de Propinas'!A55="","",'Controlo de Propinas'!A55)</f>
        <v/>
      </c>
      <c r="B55" s="184" t="str">
        <f>IF('Controlo de Propinas'!B55="","",'Controlo de Propinas'!B55)</f>
        <v/>
      </c>
      <c r="C55" s="184" t="str">
        <f>IF('Controlo de Propinas'!C55="","",'Controlo de Propinas'!C55)</f>
        <v/>
      </c>
      <c r="D55" s="51" t="str">
        <f t="shared" si="3"/>
        <v/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1" t="str">
        <f t="shared" si="4"/>
        <v/>
      </c>
      <c r="P55" s="53" t="str">
        <f t="shared" si="5"/>
        <v/>
      </c>
      <c r="Q55" s="54"/>
    </row>
    <row r="56" spans="1:17" ht="15" customHeight="1" x14ac:dyDescent="0.25">
      <c r="A56" s="184" t="str">
        <f>IF('Controlo de Propinas'!A56="","",'Controlo de Propinas'!A56)</f>
        <v/>
      </c>
      <c r="B56" s="184" t="str">
        <f>IF('Controlo de Propinas'!B56="","",'Controlo de Propinas'!B56)</f>
        <v/>
      </c>
      <c r="C56" s="184" t="str">
        <f>IF('Controlo de Propinas'!C56="","",'Controlo de Propinas'!C56)</f>
        <v/>
      </c>
      <c r="D56" s="51" t="str">
        <f t="shared" si="3"/>
        <v/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1" t="str">
        <f t="shared" si="4"/>
        <v/>
      </c>
      <c r="P56" s="53" t="str">
        <f t="shared" si="5"/>
        <v/>
      </c>
      <c r="Q56" s="54"/>
    </row>
    <row r="57" spans="1:17" ht="15" customHeight="1" x14ac:dyDescent="0.25">
      <c r="A57" s="184" t="str">
        <f>IF('Controlo de Propinas'!A57="","",'Controlo de Propinas'!A57)</f>
        <v/>
      </c>
      <c r="B57" s="184" t="str">
        <f>IF('Controlo de Propinas'!B57="","",'Controlo de Propinas'!B57)</f>
        <v/>
      </c>
      <c r="C57" s="184" t="str">
        <f>IF('Controlo de Propinas'!C57="","",'Controlo de Propinas'!C57)</f>
        <v/>
      </c>
      <c r="D57" s="51" t="str">
        <f t="shared" si="3"/>
        <v/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1" t="str">
        <f t="shared" si="4"/>
        <v/>
      </c>
      <c r="P57" s="53" t="str">
        <f t="shared" si="5"/>
        <v/>
      </c>
      <c r="Q57" s="54"/>
    </row>
    <row r="58" spans="1:17" ht="15" customHeight="1" x14ac:dyDescent="0.25">
      <c r="A58" s="184" t="str">
        <f>IF('Controlo de Propinas'!A58="","",'Controlo de Propinas'!A58)</f>
        <v/>
      </c>
      <c r="B58" s="184" t="str">
        <f>IF('Controlo de Propinas'!B58="","",'Controlo de Propinas'!B58)</f>
        <v/>
      </c>
      <c r="C58" s="184" t="str">
        <f>IF('Controlo de Propinas'!C58="","",'Controlo de Propinas'!C58)</f>
        <v/>
      </c>
      <c r="D58" s="51" t="str">
        <f t="shared" si="3"/>
        <v/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1" t="str">
        <f t="shared" si="4"/>
        <v/>
      </c>
      <c r="P58" s="53" t="str">
        <f t="shared" si="5"/>
        <v/>
      </c>
      <c r="Q58" s="54"/>
    </row>
    <row r="59" spans="1:17" ht="15" customHeight="1" x14ac:dyDescent="0.25">
      <c r="A59" s="184" t="str">
        <f>IF('Controlo de Propinas'!A59="","",'Controlo de Propinas'!A59)</f>
        <v/>
      </c>
      <c r="B59" s="184" t="str">
        <f>IF('Controlo de Propinas'!B59="","",'Controlo de Propinas'!B59)</f>
        <v/>
      </c>
      <c r="C59" s="184" t="str">
        <f>IF('Controlo de Propinas'!C59="","",'Controlo de Propinas'!C59)</f>
        <v/>
      </c>
      <c r="D59" s="51" t="str">
        <f t="shared" si="3"/>
        <v/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1" t="str">
        <f t="shared" si="4"/>
        <v/>
      </c>
      <c r="P59" s="53" t="str">
        <f t="shared" si="5"/>
        <v/>
      </c>
      <c r="Q59" s="54"/>
    </row>
    <row r="60" spans="1:17" ht="15" customHeight="1" x14ac:dyDescent="0.25">
      <c r="A60" s="184" t="str">
        <f>IF('Controlo de Propinas'!A60="","",'Controlo de Propinas'!A60)</f>
        <v/>
      </c>
      <c r="B60" s="184" t="str">
        <f>IF('Controlo de Propinas'!B60="","",'Controlo de Propinas'!B60)</f>
        <v/>
      </c>
      <c r="C60" s="184" t="str">
        <f>IF('Controlo de Propinas'!C60="","",'Controlo de Propinas'!C60)</f>
        <v/>
      </c>
      <c r="D60" s="51" t="str">
        <f t="shared" si="3"/>
        <v/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1" t="str">
        <f t="shared" si="4"/>
        <v/>
      </c>
      <c r="P60" s="53" t="str">
        <f t="shared" si="5"/>
        <v/>
      </c>
      <c r="Q60" s="54"/>
    </row>
    <row r="61" spans="1:17" ht="15" customHeight="1" x14ac:dyDescent="0.25">
      <c r="A61" s="184" t="str">
        <f>IF('Controlo de Propinas'!A61="","",'Controlo de Propinas'!A61)</f>
        <v/>
      </c>
      <c r="B61" s="184" t="str">
        <f>IF('Controlo de Propinas'!B61="","",'Controlo de Propinas'!B61)</f>
        <v/>
      </c>
      <c r="C61" s="184" t="str">
        <f>IF('Controlo de Propinas'!C61="","",'Controlo de Propinas'!C61)</f>
        <v/>
      </c>
      <c r="D61" s="51" t="str">
        <f t="shared" si="3"/>
        <v/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1" t="str">
        <f t="shared" si="4"/>
        <v/>
      </c>
      <c r="P61" s="53" t="str">
        <f t="shared" si="5"/>
        <v/>
      </c>
      <c r="Q61" s="54"/>
    </row>
    <row r="62" spans="1:17" ht="15" customHeight="1" x14ac:dyDescent="0.25">
      <c r="A62" s="184" t="str">
        <f>IF('Controlo de Propinas'!A62="","",'Controlo de Propinas'!A62)</f>
        <v/>
      </c>
      <c r="B62" s="184" t="str">
        <f>IF('Controlo de Propinas'!B62="","",'Controlo de Propinas'!B62)</f>
        <v/>
      </c>
      <c r="C62" s="184" t="str">
        <f>IF('Controlo de Propinas'!C62="","",'Controlo de Propinas'!C62)</f>
        <v/>
      </c>
      <c r="D62" s="51" t="str">
        <f t="shared" si="3"/>
        <v/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1" t="str">
        <f t="shared" si="4"/>
        <v/>
      </c>
      <c r="P62" s="53" t="str">
        <f t="shared" si="5"/>
        <v/>
      </c>
      <c r="Q62" s="54"/>
    </row>
    <row r="63" spans="1:17" ht="15" customHeight="1" x14ac:dyDescent="0.25">
      <c r="A63" s="184" t="str">
        <f>IF('Controlo de Propinas'!A63="","",'Controlo de Propinas'!A63)</f>
        <v/>
      </c>
      <c r="B63" s="184" t="str">
        <f>IF('Controlo de Propinas'!B63="","",'Controlo de Propinas'!B63)</f>
        <v/>
      </c>
      <c r="C63" s="184" t="str">
        <f>IF('Controlo de Propinas'!C63="","",'Controlo de Propinas'!C63)</f>
        <v/>
      </c>
      <c r="D63" s="51" t="str">
        <f t="shared" si="3"/>
        <v/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1" t="str">
        <f t="shared" si="4"/>
        <v/>
      </c>
      <c r="P63" s="53" t="str">
        <f t="shared" si="5"/>
        <v/>
      </c>
      <c r="Q63" s="54"/>
    </row>
    <row r="64" spans="1:17" ht="15" customHeight="1" x14ac:dyDescent="0.25">
      <c r="A64" s="184" t="str">
        <f>IF('Controlo de Propinas'!A64="","",'Controlo de Propinas'!A64)</f>
        <v/>
      </c>
      <c r="B64" s="184" t="str">
        <f>IF('Controlo de Propinas'!B64="","",'Controlo de Propinas'!B64)</f>
        <v/>
      </c>
      <c r="C64" s="184" t="str">
        <f>IF('Controlo de Propinas'!C64="","",'Controlo de Propinas'!C64)</f>
        <v/>
      </c>
      <c r="D64" s="51" t="str">
        <f t="shared" si="3"/>
        <v/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1" t="str">
        <f t="shared" si="4"/>
        <v/>
      </c>
      <c r="P64" s="53" t="str">
        <f t="shared" si="5"/>
        <v/>
      </c>
      <c r="Q64" s="54"/>
    </row>
    <row r="65" spans="1:17" ht="15" customHeight="1" x14ac:dyDescent="0.25">
      <c r="A65" s="184" t="str">
        <f>IF('Controlo de Propinas'!A65="","",'Controlo de Propinas'!A65)</f>
        <v/>
      </c>
      <c r="B65" s="184" t="str">
        <f>IF('Controlo de Propinas'!B65="","",'Controlo de Propinas'!B65)</f>
        <v/>
      </c>
      <c r="C65" s="184" t="str">
        <f>IF('Controlo de Propinas'!C65="","",'Controlo de Propinas'!C65)</f>
        <v/>
      </c>
      <c r="D65" s="51" t="str">
        <f t="shared" si="3"/>
        <v/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1" t="str">
        <f t="shared" si="4"/>
        <v/>
      </c>
      <c r="P65" s="53" t="str">
        <f t="shared" si="5"/>
        <v/>
      </c>
      <c r="Q65" s="54"/>
    </row>
    <row r="66" spans="1:17" ht="15" customHeight="1" x14ac:dyDescent="0.25">
      <c r="A66" s="184" t="str">
        <f>IF('Controlo de Propinas'!A66="","",'Controlo de Propinas'!A66)</f>
        <v/>
      </c>
      <c r="B66" s="184" t="str">
        <f>IF('Controlo de Propinas'!B66="","",'Controlo de Propinas'!B66)</f>
        <v/>
      </c>
      <c r="C66" s="184" t="str">
        <f>IF('Controlo de Propinas'!C66="","",'Controlo de Propinas'!C66)</f>
        <v/>
      </c>
      <c r="D66" s="51" t="str">
        <f t="shared" si="3"/>
        <v/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1" t="str">
        <f t="shared" si="4"/>
        <v/>
      </c>
      <c r="P66" s="53" t="str">
        <f t="shared" si="5"/>
        <v/>
      </c>
      <c r="Q66" s="54"/>
    </row>
    <row r="67" spans="1:17" ht="15" customHeight="1" x14ac:dyDescent="0.25">
      <c r="A67" s="184" t="str">
        <f>IF('Controlo de Propinas'!A67="","",'Controlo de Propinas'!A67)</f>
        <v/>
      </c>
      <c r="B67" s="184" t="str">
        <f>IF('Controlo de Propinas'!B67="","",'Controlo de Propinas'!B67)</f>
        <v/>
      </c>
      <c r="C67" s="184" t="str">
        <f>IF('Controlo de Propinas'!C67="","",'Controlo de Propinas'!C67)</f>
        <v/>
      </c>
      <c r="D67" s="51" t="str">
        <f t="shared" si="3"/>
        <v/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1" t="str">
        <f t="shared" si="4"/>
        <v/>
      </c>
      <c r="P67" s="53" t="str">
        <f t="shared" si="5"/>
        <v/>
      </c>
      <c r="Q67" s="54"/>
    </row>
    <row r="68" spans="1:17" ht="15" customHeight="1" x14ac:dyDescent="0.25">
      <c r="A68" s="184" t="str">
        <f>IF('Controlo de Propinas'!A68="","",'Controlo de Propinas'!A68)</f>
        <v/>
      </c>
      <c r="B68" s="184" t="str">
        <f>IF('Controlo de Propinas'!B68="","",'Controlo de Propinas'!B68)</f>
        <v/>
      </c>
      <c r="C68" s="184" t="str">
        <f>IF('Controlo de Propinas'!C68="","",'Controlo de Propinas'!C68)</f>
        <v/>
      </c>
      <c r="D68" s="51" t="str">
        <f t="shared" si="3"/>
        <v/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1" t="str">
        <f t="shared" si="4"/>
        <v/>
      </c>
      <c r="P68" s="53" t="str">
        <f t="shared" si="5"/>
        <v/>
      </c>
      <c r="Q68" s="54"/>
    </row>
    <row r="69" spans="1:17" ht="15" customHeight="1" x14ac:dyDescent="0.25">
      <c r="A69" s="184" t="str">
        <f>IF('Controlo de Propinas'!A69="","",'Controlo de Propinas'!A69)</f>
        <v/>
      </c>
      <c r="B69" s="184" t="str">
        <f>IF('Controlo de Propinas'!B69="","",'Controlo de Propinas'!B69)</f>
        <v/>
      </c>
      <c r="C69" s="184" t="str">
        <f>IF('Controlo de Propinas'!C69="","",'Controlo de Propinas'!C69)</f>
        <v/>
      </c>
      <c r="D69" s="51" t="str">
        <f t="shared" si="3"/>
        <v/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1" t="str">
        <f t="shared" si="4"/>
        <v/>
      </c>
      <c r="P69" s="53" t="str">
        <f t="shared" si="5"/>
        <v/>
      </c>
      <c r="Q69" s="54"/>
    </row>
    <row r="70" spans="1:17" ht="15" customHeight="1" x14ac:dyDescent="0.25">
      <c r="A70" s="184" t="str">
        <f>IF('Controlo de Propinas'!A70="","",'Controlo de Propinas'!A70)</f>
        <v/>
      </c>
      <c r="B70" s="184" t="str">
        <f>IF('Controlo de Propinas'!B70="","",'Controlo de Propinas'!B70)</f>
        <v/>
      </c>
      <c r="C70" s="184" t="str">
        <f>IF('Controlo de Propinas'!C70="","",'Controlo de Propinas'!C70)</f>
        <v/>
      </c>
      <c r="D70" s="51" t="str">
        <f t="shared" ref="D70:D80" si="6">IF(C70="","",IF(OR(C70="Maternelle",C70="Maternelle P1",C70="Maternelle P2",C70="Maternelle P3"),170000,IF(C70="CM2",250000,IF(C70="4eme",260000,170000))))</f>
        <v/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1" t="str">
        <f t="shared" ref="O70:O80" si="7">IF(B70="","",SUM(E70:N70))</f>
        <v/>
      </c>
      <c r="P70" s="53" t="str">
        <f t="shared" ref="P70:P80" si="8">IF(B70="","",IF(O70=0,"Pendente",IF(O70&lt;D70,"Parcial","Pago")))</f>
        <v/>
      </c>
      <c r="Q70" s="54"/>
    </row>
    <row r="71" spans="1:17" ht="15" customHeight="1" x14ac:dyDescent="0.25">
      <c r="A71" s="184" t="str">
        <f>IF('Controlo de Propinas'!A71="","",'Controlo de Propinas'!A71)</f>
        <v/>
      </c>
      <c r="B71" s="184" t="str">
        <f>IF('Controlo de Propinas'!B71="","",'Controlo de Propinas'!B71)</f>
        <v/>
      </c>
      <c r="C71" s="184" t="str">
        <f>IF('Controlo de Propinas'!C71="","",'Controlo de Propinas'!C71)</f>
        <v/>
      </c>
      <c r="D71" s="51" t="str">
        <f t="shared" si="6"/>
        <v/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1" t="str">
        <f t="shared" si="7"/>
        <v/>
      </c>
      <c r="P71" s="53" t="str">
        <f t="shared" si="8"/>
        <v/>
      </c>
      <c r="Q71" s="54"/>
    </row>
    <row r="72" spans="1:17" ht="15" customHeight="1" x14ac:dyDescent="0.25">
      <c r="A72" s="184" t="str">
        <f>IF('Controlo de Propinas'!A72="","",'Controlo de Propinas'!A72)</f>
        <v/>
      </c>
      <c r="B72" s="184" t="str">
        <f>IF('Controlo de Propinas'!B72="","",'Controlo de Propinas'!B72)</f>
        <v/>
      </c>
      <c r="C72" s="184" t="str">
        <f>IF('Controlo de Propinas'!C72="","",'Controlo de Propinas'!C72)</f>
        <v/>
      </c>
      <c r="D72" s="51" t="str">
        <f t="shared" si="6"/>
        <v/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1" t="str">
        <f t="shared" si="7"/>
        <v/>
      </c>
      <c r="P72" s="53" t="str">
        <f t="shared" si="8"/>
        <v/>
      </c>
      <c r="Q72" s="54"/>
    </row>
    <row r="73" spans="1:17" ht="15" customHeight="1" x14ac:dyDescent="0.25">
      <c r="A73" s="184" t="str">
        <f>IF('Controlo de Propinas'!A73="","",'Controlo de Propinas'!A73)</f>
        <v/>
      </c>
      <c r="B73" s="184" t="str">
        <f>IF('Controlo de Propinas'!B73="","",'Controlo de Propinas'!B73)</f>
        <v/>
      </c>
      <c r="C73" s="184" t="str">
        <f>IF('Controlo de Propinas'!C73="","",'Controlo de Propinas'!C73)</f>
        <v/>
      </c>
      <c r="D73" s="51" t="str">
        <f t="shared" si="6"/>
        <v/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1" t="str">
        <f t="shared" si="7"/>
        <v/>
      </c>
      <c r="P73" s="53" t="str">
        <f t="shared" si="8"/>
        <v/>
      </c>
      <c r="Q73" s="54"/>
    </row>
    <row r="74" spans="1:17" ht="15" customHeight="1" x14ac:dyDescent="0.25">
      <c r="A74" s="184" t="str">
        <f>IF('Controlo de Propinas'!A74="","",'Controlo de Propinas'!A74)</f>
        <v/>
      </c>
      <c r="B74" s="184" t="str">
        <f>IF('Controlo de Propinas'!B74="","",'Controlo de Propinas'!B74)</f>
        <v/>
      </c>
      <c r="C74" s="184" t="str">
        <f>IF('Controlo de Propinas'!C74="","",'Controlo de Propinas'!C74)</f>
        <v/>
      </c>
      <c r="D74" s="51" t="str">
        <f t="shared" si="6"/>
        <v/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1" t="str">
        <f t="shared" si="7"/>
        <v/>
      </c>
      <c r="P74" s="53" t="str">
        <f t="shared" si="8"/>
        <v/>
      </c>
      <c r="Q74" s="54"/>
    </row>
    <row r="75" spans="1:17" ht="15" customHeight="1" x14ac:dyDescent="0.25">
      <c r="A75" s="184" t="str">
        <f>IF('Controlo de Propinas'!A75="","",'Controlo de Propinas'!A75)</f>
        <v/>
      </c>
      <c r="B75" s="184" t="str">
        <f>IF('Controlo de Propinas'!B75="","",'Controlo de Propinas'!B75)</f>
        <v/>
      </c>
      <c r="C75" s="184" t="str">
        <f>IF('Controlo de Propinas'!C75="","",'Controlo de Propinas'!C75)</f>
        <v/>
      </c>
      <c r="D75" s="51" t="str">
        <f t="shared" si="6"/>
        <v/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1" t="str">
        <f t="shared" si="7"/>
        <v/>
      </c>
      <c r="P75" s="53" t="str">
        <f t="shared" si="8"/>
        <v/>
      </c>
      <c r="Q75" s="54"/>
    </row>
    <row r="76" spans="1:17" ht="15" customHeight="1" x14ac:dyDescent="0.25">
      <c r="A76" s="184" t="str">
        <f>IF('Controlo de Propinas'!A76="","",'Controlo de Propinas'!A76)</f>
        <v/>
      </c>
      <c r="B76" s="184" t="str">
        <f>IF('Controlo de Propinas'!B76="","",'Controlo de Propinas'!B76)</f>
        <v/>
      </c>
      <c r="C76" s="184" t="str">
        <f>IF('Controlo de Propinas'!C76="","",'Controlo de Propinas'!C76)</f>
        <v/>
      </c>
      <c r="D76" s="51" t="str">
        <f t="shared" si="6"/>
        <v/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1" t="str">
        <f t="shared" si="7"/>
        <v/>
      </c>
      <c r="P76" s="53" t="str">
        <f t="shared" si="8"/>
        <v/>
      </c>
      <c r="Q76" s="54"/>
    </row>
    <row r="77" spans="1:17" ht="15" customHeight="1" x14ac:dyDescent="0.25">
      <c r="A77" s="184" t="str">
        <f>IF('Controlo de Propinas'!A77="","",'Controlo de Propinas'!A77)</f>
        <v/>
      </c>
      <c r="B77" s="184" t="str">
        <f>IF('Controlo de Propinas'!B77="","",'Controlo de Propinas'!B77)</f>
        <v/>
      </c>
      <c r="C77" s="184" t="str">
        <f>IF('Controlo de Propinas'!C77="","",'Controlo de Propinas'!C77)</f>
        <v/>
      </c>
      <c r="D77" s="51" t="str">
        <f t="shared" si="6"/>
        <v/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1" t="str">
        <f t="shared" si="7"/>
        <v/>
      </c>
      <c r="P77" s="53" t="str">
        <f t="shared" si="8"/>
        <v/>
      </c>
      <c r="Q77" s="54"/>
    </row>
    <row r="78" spans="1:17" ht="15" customHeight="1" x14ac:dyDescent="0.25">
      <c r="A78" s="184" t="str">
        <f>IF('Controlo de Propinas'!A78="","",'Controlo de Propinas'!A78)</f>
        <v/>
      </c>
      <c r="B78" s="184" t="str">
        <f>IF('Controlo de Propinas'!B78="","",'Controlo de Propinas'!B78)</f>
        <v/>
      </c>
      <c r="C78" s="184" t="str">
        <f>IF('Controlo de Propinas'!C78="","",'Controlo de Propinas'!C78)</f>
        <v/>
      </c>
      <c r="D78" s="51" t="str">
        <f t="shared" si="6"/>
        <v/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1" t="str">
        <f t="shared" si="7"/>
        <v/>
      </c>
      <c r="P78" s="53" t="str">
        <f t="shared" si="8"/>
        <v/>
      </c>
      <c r="Q78" s="54"/>
    </row>
    <row r="79" spans="1:17" ht="15" customHeight="1" x14ac:dyDescent="0.25">
      <c r="A79" s="184" t="str">
        <f>IF('Controlo de Propinas'!A79="","",'Controlo de Propinas'!A79)</f>
        <v/>
      </c>
      <c r="B79" s="184" t="str">
        <f>IF('Controlo de Propinas'!B79="","",'Controlo de Propinas'!B79)</f>
        <v/>
      </c>
      <c r="C79" s="184" t="str">
        <f>IF('Controlo de Propinas'!C79="","",'Controlo de Propinas'!C79)</f>
        <v/>
      </c>
      <c r="D79" s="51" t="str">
        <f t="shared" si="6"/>
        <v/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  <c r="J79" s="52">
        <v>0</v>
      </c>
      <c r="K79" s="52">
        <v>0</v>
      </c>
      <c r="L79" s="52">
        <v>0</v>
      </c>
      <c r="M79" s="52">
        <v>0</v>
      </c>
      <c r="N79" s="52">
        <v>0</v>
      </c>
      <c r="O79" s="51" t="str">
        <f t="shared" si="7"/>
        <v/>
      </c>
      <c r="P79" s="53" t="str">
        <f t="shared" si="8"/>
        <v/>
      </c>
      <c r="Q79" s="54"/>
    </row>
    <row r="80" spans="1:17" ht="15" customHeight="1" x14ac:dyDescent="0.25">
      <c r="A80" s="184" t="str">
        <f>IF('Controlo de Propinas'!A80="","",'Controlo de Propinas'!A80)</f>
        <v/>
      </c>
      <c r="B80" s="184" t="str">
        <f>IF('Controlo de Propinas'!B80="","",'Controlo de Propinas'!B80)</f>
        <v/>
      </c>
      <c r="C80" s="184" t="str">
        <f>IF('Controlo de Propinas'!C80="","",'Controlo de Propinas'!C80)</f>
        <v/>
      </c>
      <c r="D80" s="51" t="str">
        <f t="shared" si="6"/>
        <v/>
      </c>
      <c r="E80" s="52">
        <v>0</v>
      </c>
      <c r="F80" s="52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1" t="str">
        <f t="shared" si="7"/>
        <v/>
      </c>
      <c r="P80" s="53" t="str">
        <f t="shared" si="8"/>
        <v/>
      </c>
      <c r="Q80" s="54"/>
    </row>
    <row r="81" spans="1:17" ht="15" customHeight="1" x14ac:dyDescent="0.25">
      <c r="A81" s="56" t="s">
        <v>98</v>
      </c>
      <c r="B81" s="56" t="str">
        <f>COUNTIF(B6:B80,"?*")&amp;" alunos"</f>
        <v>9 alunos</v>
      </c>
      <c r="C81" s="36"/>
      <c r="D81" s="36"/>
      <c r="E81" s="57">
        <f t="shared" ref="E81:O81" si="9">SUM(E6:E80)</f>
        <v>0</v>
      </c>
      <c r="F81" s="57">
        <f t="shared" si="9"/>
        <v>0</v>
      </c>
      <c r="G81" s="57">
        <f t="shared" si="9"/>
        <v>0</v>
      </c>
      <c r="H81" s="57">
        <f t="shared" si="9"/>
        <v>0</v>
      </c>
      <c r="I81" s="57">
        <f t="shared" si="9"/>
        <v>0</v>
      </c>
      <c r="J81" s="57">
        <f t="shared" si="9"/>
        <v>0</v>
      </c>
      <c r="K81" s="57">
        <f t="shared" si="9"/>
        <v>0</v>
      </c>
      <c r="L81" s="57">
        <f t="shared" si="9"/>
        <v>0</v>
      </c>
      <c r="M81" s="57">
        <f t="shared" si="9"/>
        <v>0</v>
      </c>
      <c r="N81" s="57">
        <f t="shared" si="9"/>
        <v>0</v>
      </c>
      <c r="O81" s="57">
        <f t="shared" si="9"/>
        <v>0</v>
      </c>
      <c r="P81" s="36"/>
      <c r="Q81" s="36"/>
    </row>
    <row r="83" spans="1:17" ht="19.5" customHeight="1" x14ac:dyDescent="0.25">
      <c r="A83" s="256" t="s">
        <v>140</v>
      </c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</row>
    <row r="84" spans="1:17" ht="21.75" customHeight="1" x14ac:dyDescent="0.25">
      <c r="A84" s="38" t="s">
        <v>64</v>
      </c>
      <c r="B84" s="38" t="s">
        <v>65</v>
      </c>
      <c r="C84" s="38" t="s">
        <v>66</v>
      </c>
      <c r="D84" s="38" t="s">
        <v>126</v>
      </c>
      <c r="E84" s="38" t="s">
        <v>127</v>
      </c>
      <c r="F84" s="38" t="s">
        <v>128</v>
      </c>
      <c r="G84" s="38" t="s">
        <v>129</v>
      </c>
      <c r="H84" s="38" t="s">
        <v>130</v>
      </c>
      <c r="I84" s="38" t="s">
        <v>131</v>
      </c>
      <c r="J84" s="38" t="s">
        <v>132</v>
      </c>
      <c r="K84" s="38" t="s">
        <v>133</v>
      </c>
      <c r="L84" s="38" t="s">
        <v>134</v>
      </c>
      <c r="M84" s="38" t="s">
        <v>135</v>
      </c>
      <c r="N84" s="38" t="s">
        <v>136</v>
      </c>
      <c r="O84" s="38" t="s">
        <v>137</v>
      </c>
      <c r="P84" s="38" t="s">
        <v>138</v>
      </c>
      <c r="Q84" s="38" t="s">
        <v>139</v>
      </c>
    </row>
    <row r="85" spans="1:17" ht="15" customHeight="1" x14ac:dyDescent="0.25">
      <c r="A85" s="39" t="str">
        <f>IF('Controlo de Propinas'!A110="","",'Controlo de Propinas'!A110)</f>
        <v>CM1-01</v>
      </c>
      <c r="B85" s="39" t="str">
        <f>IF('Controlo de Propinas'!B110="","",'Controlo de Propinas'!B110)</f>
        <v>Crisber Uluwami António Cristovão De Sousa</v>
      </c>
      <c r="C85" s="39" t="str">
        <f>IF('Controlo de Propinas'!C110="","",'Controlo de Propinas'!C110)</f>
        <v>CM1</v>
      </c>
      <c r="D85" s="39">
        <f t="shared" ref="D85:D98" si="10">IF(C85="","",IF(OR(C85="Maternelle",C85="Maternelle P1",C85="Maternelle P2",C85="Maternelle P3"),170000,IF(C85="CM2",250000,IF(C85="4eme",260000,170000))))</f>
        <v>170000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39">
        <f t="shared" ref="O85:O98" si="11">IF(B85="","",SUM(E85:N85))</f>
        <v>0</v>
      </c>
      <c r="P85" s="39" t="str">
        <f t="shared" ref="P85:P98" si="12">IF(B85="","",IF(O85=0,"Pendente",IF(COUNTIF(E85:N85,"&gt;0")&gt;=10,"Pago","Parcial")))</f>
        <v>Pendente</v>
      </c>
      <c r="Q85" s="39"/>
    </row>
    <row r="86" spans="1:17" ht="15" customHeight="1" x14ac:dyDescent="0.25">
      <c r="A86" s="39" t="str">
        <f>IF('Controlo de Propinas'!A111="","",'Controlo de Propinas'!A111)</f>
        <v>CM1-02</v>
      </c>
      <c r="B86" s="39" t="str">
        <f>IF('Controlo de Propinas'!B111="","",'Controlo de Propinas'!B111)</f>
        <v/>
      </c>
      <c r="C86" s="39" t="str">
        <f>IF('Controlo de Propinas'!C111="","",'Controlo de Propinas'!C111)</f>
        <v>CM1</v>
      </c>
      <c r="D86" s="39">
        <f t="shared" si="10"/>
        <v>170000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39" t="str">
        <f t="shared" si="11"/>
        <v/>
      </c>
      <c r="P86" s="39" t="str">
        <f t="shared" si="12"/>
        <v/>
      </c>
      <c r="Q86" s="39"/>
    </row>
    <row r="87" spans="1:17" ht="15" customHeight="1" x14ac:dyDescent="0.25">
      <c r="A87" s="39" t="str">
        <f>IF('Controlo de Propinas'!A112="","",'Controlo de Propinas'!A112)</f>
        <v/>
      </c>
      <c r="B87" s="39" t="str">
        <f>IF('Controlo de Propinas'!B112="","",'Controlo de Propinas'!B112)</f>
        <v/>
      </c>
      <c r="C87" s="39" t="str">
        <f>IF('Controlo de Propinas'!C112="","",'Controlo de Propinas'!C112)</f>
        <v>CM1</v>
      </c>
      <c r="D87" s="39">
        <f t="shared" si="10"/>
        <v>170000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39" t="str">
        <f t="shared" si="11"/>
        <v/>
      </c>
      <c r="P87" s="39" t="str">
        <f t="shared" si="12"/>
        <v/>
      </c>
      <c r="Q87" s="39"/>
    </row>
    <row r="88" spans="1:17" ht="15" customHeight="1" x14ac:dyDescent="0.25">
      <c r="A88" s="39" t="str">
        <f>IF('Controlo de Propinas'!A113="","",'Controlo de Propinas'!A113)</f>
        <v/>
      </c>
      <c r="B88" s="39" t="str">
        <f>IF('Controlo de Propinas'!B113="","",'Controlo de Propinas'!B113)</f>
        <v/>
      </c>
      <c r="C88" s="39" t="str">
        <f>IF('Controlo de Propinas'!C113="","",'Controlo de Propinas'!C113)</f>
        <v>CM1</v>
      </c>
      <c r="D88" s="39">
        <f t="shared" si="10"/>
        <v>170000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39" t="str">
        <f t="shared" si="11"/>
        <v/>
      </c>
      <c r="P88" s="39" t="str">
        <f t="shared" si="12"/>
        <v/>
      </c>
      <c r="Q88" s="39"/>
    </row>
    <row r="89" spans="1:17" ht="15" customHeight="1" x14ac:dyDescent="0.25">
      <c r="A89" s="39" t="str">
        <f>IF('Controlo de Propinas'!A114="","",'Controlo de Propinas'!A114)</f>
        <v/>
      </c>
      <c r="B89" s="39" t="str">
        <f>IF('Controlo de Propinas'!B114="","",'Controlo de Propinas'!B114)</f>
        <v/>
      </c>
      <c r="C89" s="39" t="str">
        <f>IF('Controlo de Propinas'!C114="","",'Controlo de Propinas'!C114)</f>
        <v>CM1</v>
      </c>
      <c r="D89" s="39">
        <f t="shared" si="10"/>
        <v>170000</v>
      </c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39" t="str">
        <f t="shared" si="11"/>
        <v/>
      </c>
      <c r="P89" s="39" t="str">
        <f t="shared" si="12"/>
        <v/>
      </c>
      <c r="Q89" s="39"/>
    </row>
    <row r="90" spans="1:17" ht="15" customHeight="1" x14ac:dyDescent="0.25">
      <c r="A90" s="39" t="str">
        <f>IF('Controlo de Propinas'!A115="","",'Controlo de Propinas'!A115)</f>
        <v/>
      </c>
      <c r="B90" s="39" t="str">
        <f>IF('Controlo de Propinas'!B115="","",'Controlo de Propinas'!B115)</f>
        <v/>
      </c>
      <c r="C90" s="39" t="str">
        <f>IF('Controlo de Propinas'!C115="","",'Controlo de Propinas'!C115)</f>
        <v>CM1</v>
      </c>
      <c r="D90" s="39">
        <f t="shared" si="10"/>
        <v>170000</v>
      </c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39" t="str">
        <f t="shared" si="11"/>
        <v/>
      </c>
      <c r="P90" s="39" t="str">
        <f t="shared" si="12"/>
        <v/>
      </c>
      <c r="Q90" s="39"/>
    </row>
    <row r="91" spans="1:17" ht="15" customHeight="1" x14ac:dyDescent="0.25">
      <c r="A91" s="39" t="str">
        <f>IF('Controlo de Propinas'!A116="","",'Controlo de Propinas'!A116)</f>
        <v/>
      </c>
      <c r="B91" s="39" t="str">
        <f>IF('Controlo de Propinas'!B116="","",'Controlo de Propinas'!B116)</f>
        <v/>
      </c>
      <c r="C91" s="39" t="str">
        <f>IF('Controlo de Propinas'!C116="","",'Controlo de Propinas'!C116)</f>
        <v>CM1</v>
      </c>
      <c r="D91" s="39">
        <f t="shared" si="10"/>
        <v>170000</v>
      </c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39" t="str">
        <f t="shared" si="11"/>
        <v/>
      </c>
      <c r="P91" s="39" t="str">
        <f t="shared" si="12"/>
        <v/>
      </c>
      <c r="Q91" s="39"/>
    </row>
    <row r="92" spans="1:17" ht="15" customHeight="1" x14ac:dyDescent="0.25">
      <c r="A92" s="39" t="str">
        <f>IF('Controlo de Propinas'!A117="","",'Controlo de Propinas'!A117)</f>
        <v/>
      </c>
      <c r="B92" s="39" t="str">
        <f>IF('Controlo de Propinas'!B117="","",'Controlo de Propinas'!B117)</f>
        <v/>
      </c>
      <c r="C92" s="39" t="str">
        <f>IF('Controlo de Propinas'!C117="","",'Controlo de Propinas'!C117)</f>
        <v>CM1</v>
      </c>
      <c r="D92" s="39">
        <f t="shared" si="10"/>
        <v>170000</v>
      </c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39" t="str">
        <f t="shared" si="11"/>
        <v/>
      </c>
      <c r="P92" s="39" t="str">
        <f t="shared" si="12"/>
        <v/>
      </c>
      <c r="Q92" s="39"/>
    </row>
    <row r="93" spans="1:17" ht="15" customHeight="1" x14ac:dyDescent="0.25">
      <c r="A93" s="39" t="str">
        <f>IF('Controlo de Propinas'!A118="","",'Controlo de Propinas'!A118)</f>
        <v/>
      </c>
      <c r="B93" s="39" t="str">
        <f>IF('Controlo de Propinas'!B118="","",'Controlo de Propinas'!B118)</f>
        <v/>
      </c>
      <c r="C93" s="39" t="str">
        <f>IF('Controlo de Propinas'!C118="","",'Controlo de Propinas'!C118)</f>
        <v>CM1</v>
      </c>
      <c r="D93" s="39">
        <f t="shared" si="10"/>
        <v>170000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39" t="str">
        <f t="shared" si="11"/>
        <v/>
      </c>
      <c r="P93" s="39" t="str">
        <f t="shared" si="12"/>
        <v/>
      </c>
      <c r="Q93" s="39"/>
    </row>
    <row r="94" spans="1:17" ht="15" customHeight="1" x14ac:dyDescent="0.25">
      <c r="A94" s="39" t="str">
        <f>IF('Controlo de Propinas'!A119="","",'Controlo de Propinas'!A119)</f>
        <v/>
      </c>
      <c r="B94" s="39" t="str">
        <f>IF('Controlo de Propinas'!B119="","",'Controlo de Propinas'!B119)</f>
        <v/>
      </c>
      <c r="C94" s="39" t="str">
        <f>IF('Controlo de Propinas'!C119="","",'Controlo de Propinas'!C119)</f>
        <v>CM1</v>
      </c>
      <c r="D94" s="39">
        <f t="shared" si="10"/>
        <v>170000</v>
      </c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39" t="str">
        <f t="shared" si="11"/>
        <v/>
      </c>
      <c r="P94" s="39" t="str">
        <f t="shared" si="12"/>
        <v/>
      </c>
      <c r="Q94" s="39"/>
    </row>
    <row r="95" spans="1:17" ht="15" customHeight="1" x14ac:dyDescent="0.25">
      <c r="A95" s="39" t="str">
        <f>IF('Controlo de Propinas'!A120="","",'Controlo de Propinas'!A120)</f>
        <v/>
      </c>
      <c r="B95" s="39" t="str">
        <f>IF('Controlo de Propinas'!B120="","",'Controlo de Propinas'!B120)</f>
        <v/>
      </c>
      <c r="C95" s="39" t="str">
        <f>IF('Controlo de Propinas'!C120="","",'Controlo de Propinas'!C120)</f>
        <v>CM1</v>
      </c>
      <c r="D95" s="39">
        <f t="shared" si="10"/>
        <v>170000</v>
      </c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39" t="str">
        <f t="shared" si="11"/>
        <v/>
      </c>
      <c r="P95" s="39" t="str">
        <f t="shared" si="12"/>
        <v/>
      </c>
      <c r="Q95" s="39"/>
    </row>
    <row r="96" spans="1:17" ht="15" customHeight="1" x14ac:dyDescent="0.25">
      <c r="A96" s="39" t="str">
        <f>IF('Controlo de Propinas'!A121="","",'Controlo de Propinas'!A121)</f>
        <v/>
      </c>
      <c r="B96" s="39" t="str">
        <f>IF('Controlo de Propinas'!B121="","",'Controlo de Propinas'!B121)</f>
        <v/>
      </c>
      <c r="C96" s="39" t="str">
        <f>IF('Controlo de Propinas'!C121="","",'Controlo de Propinas'!C121)</f>
        <v>CM1</v>
      </c>
      <c r="D96" s="39">
        <f t="shared" si="10"/>
        <v>170000</v>
      </c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39" t="str">
        <f t="shared" si="11"/>
        <v/>
      </c>
      <c r="P96" s="39" t="str">
        <f t="shared" si="12"/>
        <v/>
      </c>
      <c r="Q96" s="39"/>
    </row>
    <row r="97" spans="1:17" ht="15" customHeight="1" x14ac:dyDescent="0.25">
      <c r="A97" s="39" t="str">
        <f>IF('Controlo de Propinas'!A122="","",'Controlo de Propinas'!A122)</f>
        <v/>
      </c>
      <c r="B97" s="39" t="str">
        <f>IF('Controlo de Propinas'!B122="","",'Controlo de Propinas'!B122)</f>
        <v/>
      </c>
      <c r="C97" s="39" t="str">
        <f>IF('Controlo de Propinas'!C122="","",'Controlo de Propinas'!C122)</f>
        <v>CM1</v>
      </c>
      <c r="D97" s="39">
        <f t="shared" si="10"/>
        <v>170000</v>
      </c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39" t="str">
        <f t="shared" si="11"/>
        <v/>
      </c>
      <c r="P97" s="39" t="str">
        <f t="shared" si="12"/>
        <v/>
      </c>
      <c r="Q97" s="39"/>
    </row>
    <row r="98" spans="1:17" ht="15" customHeight="1" x14ac:dyDescent="0.25">
      <c r="A98" s="39" t="str">
        <f>IF('Controlo de Propinas'!A123="","",'Controlo de Propinas'!A123)</f>
        <v/>
      </c>
      <c r="B98" s="39" t="str">
        <f>IF('Controlo de Propinas'!B123="","",'Controlo de Propinas'!B123)</f>
        <v/>
      </c>
      <c r="C98" s="39" t="str">
        <f>IF('Controlo de Propinas'!C123="","",'Controlo de Propinas'!C123)</f>
        <v>CM1</v>
      </c>
      <c r="D98" s="39">
        <f t="shared" si="10"/>
        <v>170000</v>
      </c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39" t="str">
        <f t="shared" si="11"/>
        <v/>
      </c>
      <c r="P98" s="39" t="str">
        <f t="shared" si="12"/>
        <v/>
      </c>
      <c r="Q98" s="39"/>
    </row>
    <row r="99" spans="1:17" ht="15" customHeight="1" x14ac:dyDescent="0.25">
      <c r="A99" s="43" t="s">
        <v>98</v>
      </c>
      <c r="B99" s="43" t="str">
        <f>COUNTIF(B85:B98,"?*")&amp;" alunos"</f>
        <v>1 alunos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44">
        <f>SUM(O85:O98)</f>
        <v>0</v>
      </c>
      <c r="P99" s="36"/>
      <c r="Q99" s="36"/>
    </row>
    <row r="100" spans="1:17" ht="15" customHeight="1" x14ac:dyDescent="0.25"/>
    <row r="101" spans="1:17" ht="15" customHeight="1" x14ac:dyDescent="0.25">
      <c r="A101" s="45" t="s">
        <v>141</v>
      </c>
    </row>
    <row r="102" spans="1:17" ht="15" customHeight="1" x14ac:dyDescent="0.25">
      <c r="A102" s="31" t="s">
        <v>64</v>
      </c>
      <c r="B102" s="31" t="s">
        <v>65</v>
      </c>
      <c r="C102" s="31" t="s">
        <v>66</v>
      </c>
      <c r="D102" s="31" t="s">
        <v>126</v>
      </c>
      <c r="E102" s="31" t="s">
        <v>127</v>
      </c>
      <c r="F102" s="31" t="s">
        <v>128</v>
      </c>
      <c r="G102" s="31" t="s">
        <v>129</v>
      </c>
      <c r="H102" s="31" t="s">
        <v>130</v>
      </c>
      <c r="I102" s="31" t="s">
        <v>131</v>
      </c>
      <c r="J102" s="31" t="s">
        <v>132</v>
      </c>
      <c r="K102" s="31" t="s">
        <v>133</v>
      </c>
      <c r="L102" s="31" t="s">
        <v>134</v>
      </c>
      <c r="M102" s="31" t="s">
        <v>135</v>
      </c>
      <c r="N102" s="31" t="s">
        <v>136</v>
      </c>
      <c r="O102" s="31" t="s">
        <v>137</v>
      </c>
      <c r="P102" s="31" t="s">
        <v>138</v>
      </c>
      <c r="Q102" s="31" t="s">
        <v>139</v>
      </c>
    </row>
    <row r="103" spans="1:17" ht="15" customHeight="1" x14ac:dyDescent="0.25">
      <c r="A103" s="184" t="str">
        <f>IF('Controlo de Propinas'!A129="","",'Controlo de Propinas'!A129)</f>
        <v>CM2-01</v>
      </c>
      <c r="B103" s="184" t="str">
        <f>IF('Controlo de Propinas'!B129="","",'Controlo de Propinas'!B129)</f>
        <v>Kaila Abigail Katata da Silva</v>
      </c>
      <c r="C103" s="184" t="str">
        <f>IF('Controlo de Propinas'!C129="","",'Controlo de Propinas'!C129)</f>
        <v>CM2</v>
      </c>
      <c r="D103" s="51">
        <f t="shared" ref="D103:D134" si="13">IF(C85="","",IF(OR(C85="Maternelle",C85="Maternelle P1",C85="Maternelle P2",C85="Maternelle P3"),170000,IF(C85="CM2",250000,IF(C85="4eme",260000,170000))))</f>
        <v>170000</v>
      </c>
      <c r="E103" s="52">
        <v>0</v>
      </c>
      <c r="F103" s="52">
        <v>0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0</v>
      </c>
      <c r="M103" s="52">
        <v>0</v>
      </c>
      <c r="N103" s="52">
        <v>0</v>
      </c>
      <c r="O103" s="51">
        <f t="shared" ref="O103:O134" si="14">IF(B85="","",SUM(E85:N85))</f>
        <v>0</v>
      </c>
      <c r="P103" s="53" t="str">
        <f t="shared" ref="P103:P134" si="15">IF(B85="","",IF(O85=0,"Pendente",IF(O85&lt;D85,"Parcial","Pago")))</f>
        <v>Pendente</v>
      </c>
      <c r="Q103" s="54"/>
    </row>
    <row r="104" spans="1:17" ht="15" customHeight="1" x14ac:dyDescent="0.25">
      <c r="A104" s="184" t="str">
        <f>IF('Controlo de Propinas'!A130="","",'Controlo de Propinas'!A130)</f>
        <v>CM2-02</v>
      </c>
      <c r="B104" s="184" t="str">
        <f>IF('Controlo de Propinas'!B130="","",'Controlo de Propinas'!B130)</f>
        <v>Pedro Henriques Simão dos Santos</v>
      </c>
      <c r="C104" s="184" t="str">
        <f>IF('Controlo de Propinas'!C130="","",'Controlo de Propinas'!C130)</f>
        <v>CM2</v>
      </c>
      <c r="D104" s="51">
        <f t="shared" si="13"/>
        <v>170000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1" t="str">
        <f t="shared" si="14"/>
        <v/>
      </c>
      <c r="P104" s="53" t="str">
        <f t="shared" si="15"/>
        <v/>
      </c>
      <c r="Q104" s="54"/>
    </row>
    <row r="105" spans="1:17" ht="15" customHeight="1" x14ac:dyDescent="0.25">
      <c r="A105" s="184" t="str">
        <f>IF('Controlo de Propinas'!A131="","",'Controlo de Propinas'!A131)</f>
        <v>CM2-03</v>
      </c>
      <c r="B105" s="184" t="str">
        <f>IF('Controlo de Propinas'!B131="","",'Controlo de Propinas'!B131)</f>
        <v>Keane António Teixeira Correia de Azevedo</v>
      </c>
      <c r="C105" s="184" t="str">
        <f>IF('Controlo de Propinas'!C131="","",'Controlo de Propinas'!C131)</f>
        <v>CM2</v>
      </c>
      <c r="D105" s="51">
        <f t="shared" si="13"/>
        <v>170000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52">
        <v>0</v>
      </c>
      <c r="K105" s="52">
        <v>0</v>
      </c>
      <c r="L105" s="52">
        <v>0</v>
      </c>
      <c r="M105" s="52">
        <v>0</v>
      </c>
      <c r="N105" s="52">
        <v>0</v>
      </c>
      <c r="O105" s="51" t="str">
        <f t="shared" si="14"/>
        <v/>
      </c>
      <c r="P105" s="53" t="str">
        <f t="shared" si="15"/>
        <v/>
      </c>
      <c r="Q105" s="54"/>
    </row>
    <row r="106" spans="1:17" ht="15" customHeight="1" x14ac:dyDescent="0.25">
      <c r="A106" s="184" t="str">
        <f>IF('Controlo de Propinas'!A132="","",'Controlo de Propinas'!A132)</f>
        <v>CM2-04</v>
      </c>
      <c r="B106" s="184" t="str">
        <f>IF('Controlo de Propinas'!B132="","",'Controlo de Propinas'!B132)</f>
        <v>Márcio Uzziel Francisco Venâncio</v>
      </c>
      <c r="C106" s="184" t="str">
        <f>IF('Controlo de Propinas'!C132="","",'Controlo de Propinas'!C132)</f>
        <v>CM2</v>
      </c>
      <c r="D106" s="51">
        <f t="shared" si="13"/>
        <v>170000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1" t="str">
        <f t="shared" si="14"/>
        <v/>
      </c>
      <c r="P106" s="53" t="str">
        <f t="shared" si="15"/>
        <v/>
      </c>
      <c r="Q106" s="54"/>
    </row>
    <row r="107" spans="1:17" ht="15" customHeight="1" x14ac:dyDescent="0.25">
      <c r="A107" s="184" t="str">
        <f>IF('Controlo de Propinas'!A133="","",'Controlo de Propinas'!A133)</f>
        <v/>
      </c>
      <c r="B107" s="184" t="str">
        <f>IF('Controlo de Propinas'!B133="","",'Controlo de Propinas'!B133)</f>
        <v/>
      </c>
      <c r="C107" s="184" t="str">
        <f>IF('Controlo de Propinas'!C133="","",'Controlo de Propinas'!C133)</f>
        <v>CM2</v>
      </c>
      <c r="D107" s="51">
        <f t="shared" si="13"/>
        <v>170000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1" t="str">
        <f t="shared" si="14"/>
        <v/>
      </c>
      <c r="P107" s="53" t="str">
        <f t="shared" si="15"/>
        <v/>
      </c>
      <c r="Q107" s="54"/>
    </row>
    <row r="108" spans="1:17" ht="15" customHeight="1" x14ac:dyDescent="0.25">
      <c r="A108" s="184" t="str">
        <f>IF('Controlo de Propinas'!A134="","",'Controlo de Propinas'!A134)</f>
        <v/>
      </c>
      <c r="B108" s="184" t="str">
        <f>IF('Controlo de Propinas'!B134="","",'Controlo de Propinas'!B134)</f>
        <v/>
      </c>
      <c r="C108" s="184" t="str">
        <f>IF('Controlo de Propinas'!C134="","",'Controlo de Propinas'!C134)</f>
        <v>CM2</v>
      </c>
      <c r="D108" s="51">
        <f t="shared" si="13"/>
        <v>170000</v>
      </c>
      <c r="E108" s="52">
        <v>0</v>
      </c>
      <c r="F108" s="52">
        <v>0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0</v>
      </c>
      <c r="M108" s="52">
        <v>0</v>
      </c>
      <c r="N108" s="52">
        <v>0</v>
      </c>
      <c r="O108" s="51" t="str">
        <f t="shared" si="14"/>
        <v/>
      </c>
      <c r="P108" s="53" t="str">
        <f t="shared" si="15"/>
        <v/>
      </c>
      <c r="Q108" s="54"/>
    </row>
    <row r="109" spans="1:17" ht="15" customHeight="1" x14ac:dyDescent="0.25">
      <c r="A109" s="184" t="str">
        <f>IF('Controlo de Propinas'!A135="","",'Controlo de Propinas'!A135)</f>
        <v/>
      </c>
      <c r="B109" s="184" t="str">
        <f>IF('Controlo de Propinas'!B135="","",'Controlo de Propinas'!B135)</f>
        <v/>
      </c>
      <c r="C109" s="184" t="str">
        <f>IF('Controlo de Propinas'!C135="","",'Controlo de Propinas'!C135)</f>
        <v>CM2</v>
      </c>
      <c r="D109" s="51">
        <f t="shared" si="13"/>
        <v>170000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1" t="str">
        <f t="shared" si="14"/>
        <v/>
      </c>
      <c r="P109" s="53" t="str">
        <f t="shared" si="15"/>
        <v/>
      </c>
      <c r="Q109" s="54"/>
    </row>
    <row r="110" spans="1:17" ht="15" customHeight="1" x14ac:dyDescent="0.25">
      <c r="A110" s="184" t="str">
        <f>IF('Controlo de Propinas'!A136="","",'Controlo de Propinas'!A136)</f>
        <v/>
      </c>
      <c r="B110" s="184" t="str">
        <f>IF('Controlo de Propinas'!B136="","",'Controlo de Propinas'!B136)</f>
        <v/>
      </c>
      <c r="C110" s="184" t="str">
        <f>IF('Controlo de Propinas'!C136="","",'Controlo de Propinas'!C136)</f>
        <v>CM2</v>
      </c>
      <c r="D110" s="51">
        <f t="shared" si="13"/>
        <v>170000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1" t="str">
        <f t="shared" si="14"/>
        <v/>
      </c>
      <c r="P110" s="53" t="str">
        <f t="shared" si="15"/>
        <v/>
      </c>
      <c r="Q110" s="54"/>
    </row>
    <row r="111" spans="1:17" ht="15" customHeight="1" x14ac:dyDescent="0.25">
      <c r="A111" s="184" t="str">
        <f>IF('Controlo de Propinas'!A137="","",'Controlo de Propinas'!A137)</f>
        <v/>
      </c>
      <c r="B111" s="184" t="str">
        <f>IF('Controlo de Propinas'!B137="","",'Controlo de Propinas'!B137)</f>
        <v/>
      </c>
      <c r="C111" s="184" t="str">
        <f>IF('Controlo de Propinas'!C137="","",'Controlo de Propinas'!C137)</f>
        <v>CM2</v>
      </c>
      <c r="D111" s="51">
        <f t="shared" si="13"/>
        <v>170000</v>
      </c>
      <c r="E111" s="52">
        <v>0</v>
      </c>
      <c r="F111" s="52">
        <v>0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0</v>
      </c>
      <c r="M111" s="52">
        <v>0</v>
      </c>
      <c r="N111" s="52">
        <v>0</v>
      </c>
      <c r="O111" s="51" t="str">
        <f t="shared" si="14"/>
        <v/>
      </c>
      <c r="P111" s="53" t="str">
        <f t="shared" si="15"/>
        <v/>
      </c>
      <c r="Q111" s="54"/>
    </row>
    <row r="112" spans="1:17" ht="15" customHeight="1" x14ac:dyDescent="0.25">
      <c r="A112" s="184" t="str">
        <f>IF('Controlo de Propinas'!A138="","",'Controlo de Propinas'!A138)</f>
        <v/>
      </c>
      <c r="B112" s="184" t="str">
        <f>IF('Controlo de Propinas'!B138="","",'Controlo de Propinas'!B138)</f>
        <v/>
      </c>
      <c r="C112" s="184" t="str">
        <f>IF('Controlo de Propinas'!C138="","",'Controlo de Propinas'!C138)</f>
        <v>CM2</v>
      </c>
      <c r="D112" s="51">
        <f t="shared" si="13"/>
        <v>170000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1" t="str">
        <f t="shared" si="14"/>
        <v/>
      </c>
      <c r="P112" s="53" t="str">
        <f t="shared" si="15"/>
        <v/>
      </c>
      <c r="Q112" s="54"/>
    </row>
    <row r="113" spans="1:17" ht="15" customHeight="1" x14ac:dyDescent="0.25">
      <c r="A113" s="184" t="str">
        <f>IF('Controlo de Propinas'!A139="","",'Controlo de Propinas'!A139)</f>
        <v/>
      </c>
      <c r="B113" s="184" t="str">
        <f>IF('Controlo de Propinas'!B139="","",'Controlo de Propinas'!B139)</f>
        <v/>
      </c>
      <c r="C113" s="184" t="str">
        <f>IF('Controlo de Propinas'!C139="","",'Controlo de Propinas'!C139)</f>
        <v>CM2</v>
      </c>
      <c r="D113" s="51">
        <f t="shared" si="13"/>
        <v>170000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1" t="str">
        <f t="shared" si="14"/>
        <v/>
      </c>
      <c r="P113" s="53" t="str">
        <f t="shared" si="15"/>
        <v/>
      </c>
      <c r="Q113" s="54"/>
    </row>
    <row r="114" spans="1:17" ht="15" customHeight="1" x14ac:dyDescent="0.25">
      <c r="A114" s="184" t="str">
        <f>IF('Controlo de Propinas'!A140="","",'Controlo de Propinas'!A140)</f>
        <v/>
      </c>
      <c r="B114" s="184" t="str">
        <f>IF('Controlo de Propinas'!B140="","",'Controlo de Propinas'!B140)</f>
        <v/>
      </c>
      <c r="C114" s="184" t="str">
        <f>IF('Controlo de Propinas'!C140="","",'Controlo de Propinas'!C140)</f>
        <v>CM2</v>
      </c>
      <c r="D114" s="51">
        <f t="shared" si="13"/>
        <v>170000</v>
      </c>
      <c r="E114" s="52">
        <v>0</v>
      </c>
      <c r="F114" s="52">
        <v>0</v>
      </c>
      <c r="G114" s="52">
        <v>0</v>
      </c>
      <c r="H114" s="52">
        <v>0</v>
      </c>
      <c r="I114" s="52">
        <v>0</v>
      </c>
      <c r="J114" s="52">
        <v>0</v>
      </c>
      <c r="K114" s="52">
        <v>0</v>
      </c>
      <c r="L114" s="52">
        <v>0</v>
      </c>
      <c r="M114" s="52">
        <v>0</v>
      </c>
      <c r="N114" s="52">
        <v>0</v>
      </c>
      <c r="O114" s="51" t="str">
        <f t="shared" si="14"/>
        <v/>
      </c>
      <c r="P114" s="53" t="str">
        <f t="shared" si="15"/>
        <v/>
      </c>
      <c r="Q114" s="54"/>
    </row>
    <row r="115" spans="1:17" ht="15" customHeight="1" x14ac:dyDescent="0.25">
      <c r="A115" s="184" t="str">
        <f>IF('Controlo de Propinas'!A141="","",'Controlo de Propinas'!A141)</f>
        <v/>
      </c>
      <c r="B115" s="184" t="str">
        <f>IF('Controlo de Propinas'!B141="","",'Controlo de Propinas'!B141)</f>
        <v/>
      </c>
      <c r="C115" s="184" t="str">
        <f>IF('Controlo de Propinas'!C141="","",'Controlo de Propinas'!C141)</f>
        <v>CM2</v>
      </c>
      <c r="D115" s="51">
        <f t="shared" si="13"/>
        <v>170000</v>
      </c>
      <c r="E115" s="52">
        <v>0</v>
      </c>
      <c r="F115" s="52">
        <v>0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2">
        <v>0</v>
      </c>
      <c r="M115" s="52">
        <v>0</v>
      </c>
      <c r="N115" s="52">
        <v>0</v>
      </c>
      <c r="O115" s="51" t="str">
        <f t="shared" si="14"/>
        <v/>
      </c>
      <c r="P115" s="53" t="str">
        <f t="shared" si="15"/>
        <v/>
      </c>
      <c r="Q115" s="54"/>
    </row>
    <row r="116" spans="1:17" ht="15" customHeight="1" x14ac:dyDescent="0.25">
      <c r="A116" s="184" t="str">
        <f>IF('Controlo de Propinas'!A142="","",'Controlo de Propinas'!A142)</f>
        <v/>
      </c>
      <c r="B116" s="184" t="str">
        <f>IF('Controlo de Propinas'!B142="","",'Controlo de Propinas'!B142)</f>
        <v/>
      </c>
      <c r="C116" s="184" t="str">
        <f>IF('Controlo de Propinas'!C142="","",'Controlo de Propinas'!C142)</f>
        <v>CM2</v>
      </c>
      <c r="D116" s="51">
        <f t="shared" si="13"/>
        <v>170000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1" t="str">
        <f t="shared" si="14"/>
        <v/>
      </c>
      <c r="P116" s="53" t="str">
        <f t="shared" si="15"/>
        <v/>
      </c>
      <c r="Q116" s="54"/>
    </row>
    <row r="117" spans="1:17" ht="15" customHeight="1" x14ac:dyDescent="0.25">
      <c r="A117" s="184" t="str">
        <f>IF('Controlo de Propinas'!A143="","",'Controlo de Propinas'!A143)</f>
        <v/>
      </c>
      <c r="B117" s="184" t="str">
        <f>IF('Controlo de Propinas'!B143="","",'Controlo de Propinas'!B143)</f>
        <v/>
      </c>
      <c r="C117" s="184" t="str">
        <f>IF('Controlo de Propinas'!C143="","",'Controlo de Propinas'!C143)</f>
        <v>CM2</v>
      </c>
      <c r="D117" s="51" t="str">
        <f t="shared" si="13"/>
        <v/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1">
        <f t="shared" si="14"/>
        <v>0</v>
      </c>
      <c r="P117" s="53" t="str">
        <f t="shared" si="15"/>
        <v>Pendente</v>
      </c>
      <c r="Q117" s="54"/>
    </row>
    <row r="118" spans="1:17" ht="15" customHeight="1" x14ac:dyDescent="0.25">
      <c r="A118" s="184" t="str">
        <f>IF('Controlo de Propinas'!A144="","",'Controlo de Propinas'!A144)</f>
        <v/>
      </c>
      <c r="B118" s="184" t="str">
        <f>IF('Controlo de Propinas'!B144="","",'Controlo de Propinas'!B144)</f>
        <v/>
      </c>
      <c r="C118" s="184" t="str">
        <f>IF('Controlo de Propinas'!C144="","",'Controlo de Propinas'!C144)</f>
        <v>CM2</v>
      </c>
      <c r="D118" s="51" t="str">
        <f t="shared" si="13"/>
        <v/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0</v>
      </c>
      <c r="K118" s="52">
        <v>0</v>
      </c>
      <c r="L118" s="52">
        <v>0</v>
      </c>
      <c r="M118" s="52">
        <v>0</v>
      </c>
      <c r="N118" s="52">
        <v>0</v>
      </c>
      <c r="O118" s="51" t="str">
        <f t="shared" si="14"/>
        <v/>
      </c>
      <c r="P118" s="53" t="str">
        <f t="shared" si="15"/>
        <v/>
      </c>
      <c r="Q118" s="54"/>
    </row>
    <row r="119" spans="1:17" ht="15" customHeight="1" x14ac:dyDescent="0.25">
      <c r="A119" s="184" t="str">
        <f>IF('Controlo de Propinas'!A145="","",'Controlo de Propinas'!A145)</f>
        <v/>
      </c>
      <c r="B119" s="184" t="str">
        <f>IF('Controlo de Propinas'!B145="","",'Controlo de Propinas'!B145)</f>
        <v/>
      </c>
      <c r="C119" s="184" t="str">
        <f>IF('Controlo de Propinas'!C145="","",'Controlo de Propinas'!C145)</f>
        <v>CM2</v>
      </c>
      <c r="D119" s="51" t="str">
        <f t="shared" si="13"/>
        <v/>
      </c>
      <c r="E119" s="52">
        <v>0</v>
      </c>
      <c r="F119" s="52">
        <v>0</v>
      </c>
      <c r="G119" s="52">
        <v>0</v>
      </c>
      <c r="H119" s="52">
        <v>0</v>
      </c>
      <c r="I119" s="52">
        <v>0</v>
      </c>
      <c r="J119" s="52">
        <v>0</v>
      </c>
      <c r="K119" s="52">
        <v>0</v>
      </c>
      <c r="L119" s="52">
        <v>0</v>
      </c>
      <c r="M119" s="52">
        <v>0</v>
      </c>
      <c r="N119" s="52">
        <v>0</v>
      </c>
      <c r="O119" s="51" t="str">
        <f t="shared" si="14"/>
        <v/>
      </c>
      <c r="P119" s="53" t="str">
        <f t="shared" si="15"/>
        <v/>
      </c>
      <c r="Q119" s="54"/>
    </row>
    <row r="120" spans="1:17" ht="15" customHeight="1" x14ac:dyDescent="0.25">
      <c r="A120" s="184" t="str">
        <f>IF('Controlo de Propinas'!A146="","",'Controlo de Propinas'!A146)</f>
        <v/>
      </c>
      <c r="B120" s="184" t="str">
        <f>IF('Controlo de Propinas'!B146="","",'Controlo de Propinas'!B146)</f>
        <v/>
      </c>
      <c r="C120" s="184" t="str">
        <f>IF('Controlo de Propinas'!C146="","",'Controlo de Propinas'!C146)</f>
        <v>CM2</v>
      </c>
      <c r="D120" s="51">
        <f t="shared" si="13"/>
        <v>170000</v>
      </c>
      <c r="E120" s="52">
        <v>0</v>
      </c>
      <c r="F120" s="52">
        <v>0</v>
      </c>
      <c r="G120" s="52">
        <v>0</v>
      </c>
      <c r="H120" s="52">
        <v>0</v>
      </c>
      <c r="I120" s="52">
        <v>0</v>
      </c>
      <c r="J120" s="52">
        <v>0</v>
      </c>
      <c r="K120" s="52">
        <v>0</v>
      </c>
      <c r="L120" s="52">
        <v>0</v>
      </c>
      <c r="M120" s="52">
        <v>0</v>
      </c>
      <c r="N120" s="52">
        <v>0</v>
      </c>
      <c r="O120" s="51">
        <f t="shared" si="14"/>
        <v>0</v>
      </c>
      <c r="P120" s="53" t="str">
        <f t="shared" si="15"/>
        <v>Pago</v>
      </c>
      <c r="Q120" s="54"/>
    </row>
    <row r="121" spans="1:17" ht="15" customHeight="1" x14ac:dyDescent="0.25">
      <c r="A121" s="184" t="str">
        <f>IF('Controlo de Propinas'!A147="","",'Controlo de Propinas'!A147)</f>
        <v/>
      </c>
      <c r="B121" s="184" t="str">
        <f>IF('Controlo de Propinas'!B147="","",'Controlo de Propinas'!B147)</f>
        <v/>
      </c>
      <c r="C121" s="184" t="str">
        <f>IF('Controlo de Propinas'!C147="","",'Controlo de Propinas'!C147)</f>
        <v>CM2</v>
      </c>
      <c r="D121" s="51">
        <f t="shared" si="13"/>
        <v>250000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1">
        <f t="shared" si="14"/>
        <v>0</v>
      </c>
      <c r="P121" s="53" t="str">
        <f t="shared" si="15"/>
        <v>Pendente</v>
      </c>
      <c r="Q121" s="54"/>
    </row>
    <row r="122" spans="1:17" ht="15" customHeight="1" x14ac:dyDescent="0.25">
      <c r="A122" s="184" t="str">
        <f>IF('Controlo de Propinas'!A148="","",'Controlo de Propinas'!A148)</f>
        <v/>
      </c>
      <c r="B122" s="184" t="str">
        <f>IF('Controlo de Propinas'!B148="","",'Controlo de Propinas'!B148)</f>
        <v/>
      </c>
      <c r="C122" s="184" t="str">
        <f>IF('Controlo de Propinas'!C148="","",'Controlo de Propinas'!C148)</f>
        <v>CM2</v>
      </c>
      <c r="D122" s="51">
        <f t="shared" si="13"/>
        <v>250000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1">
        <f t="shared" si="14"/>
        <v>0</v>
      </c>
      <c r="P122" s="53" t="str">
        <f t="shared" si="15"/>
        <v>Pago</v>
      </c>
      <c r="Q122" s="54"/>
    </row>
    <row r="123" spans="1:17" ht="15" customHeight="1" x14ac:dyDescent="0.25">
      <c r="A123" s="184" t="str">
        <f>IF('Controlo de Propinas'!A149="","",'Controlo de Propinas'!A149)</f>
        <v/>
      </c>
      <c r="B123" s="184" t="str">
        <f>IF('Controlo de Propinas'!B149="","",'Controlo de Propinas'!B149)</f>
        <v/>
      </c>
      <c r="C123" s="184" t="str">
        <f>IF('Controlo de Propinas'!C149="","",'Controlo de Propinas'!C149)</f>
        <v>CM2</v>
      </c>
      <c r="D123" s="51">
        <f t="shared" si="13"/>
        <v>250000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1">
        <f t="shared" si="14"/>
        <v>0</v>
      </c>
      <c r="P123" s="53" t="str">
        <f t="shared" si="15"/>
        <v>Pago</v>
      </c>
      <c r="Q123" s="54"/>
    </row>
    <row r="124" spans="1:17" ht="15" customHeight="1" x14ac:dyDescent="0.25">
      <c r="A124" s="184" t="str">
        <f>IF('Controlo de Propinas'!A150="","",'Controlo de Propinas'!A150)</f>
        <v/>
      </c>
      <c r="B124" s="184" t="str">
        <f>IF('Controlo de Propinas'!B150="","",'Controlo de Propinas'!B150)</f>
        <v/>
      </c>
      <c r="C124" s="184" t="str">
        <f>IF('Controlo de Propinas'!C150="","",'Controlo de Propinas'!C150)</f>
        <v>CM2</v>
      </c>
      <c r="D124" s="51">
        <f t="shared" si="13"/>
        <v>250000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0</v>
      </c>
      <c r="K124" s="52">
        <v>0</v>
      </c>
      <c r="L124" s="52">
        <v>0</v>
      </c>
      <c r="M124" s="52">
        <v>0</v>
      </c>
      <c r="N124" s="52">
        <v>0</v>
      </c>
      <c r="O124" s="51">
        <f t="shared" si="14"/>
        <v>0</v>
      </c>
      <c r="P124" s="53" t="str">
        <f t="shared" si="15"/>
        <v>Pago</v>
      </c>
      <c r="Q124" s="54"/>
    </row>
    <row r="125" spans="1:17" ht="15" customHeight="1" x14ac:dyDescent="0.25">
      <c r="A125" s="184" t="str">
        <f>IF('Controlo de Propinas'!A151="","",'Controlo de Propinas'!A151)</f>
        <v/>
      </c>
      <c r="B125" s="184" t="str">
        <f>IF('Controlo de Propinas'!B151="","",'Controlo de Propinas'!B151)</f>
        <v/>
      </c>
      <c r="C125" s="184" t="str">
        <f>IF('Controlo de Propinas'!C151="","",'Controlo de Propinas'!C151)</f>
        <v>CM2</v>
      </c>
      <c r="D125" s="51">
        <f t="shared" si="13"/>
        <v>250000</v>
      </c>
      <c r="E125" s="52">
        <v>0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0</v>
      </c>
      <c r="L125" s="52">
        <v>0</v>
      </c>
      <c r="M125" s="52">
        <v>0</v>
      </c>
      <c r="N125" s="52">
        <v>0</v>
      </c>
      <c r="O125" s="51" t="str">
        <f t="shared" si="14"/>
        <v/>
      </c>
      <c r="P125" s="53" t="str">
        <f t="shared" si="15"/>
        <v/>
      </c>
      <c r="Q125" s="54"/>
    </row>
    <row r="126" spans="1:17" ht="15" customHeight="1" x14ac:dyDescent="0.25">
      <c r="A126" s="184" t="str">
        <f>IF('Controlo de Propinas'!A152="","",'Controlo de Propinas'!A152)</f>
        <v/>
      </c>
      <c r="B126" s="184" t="str">
        <f>IF('Controlo de Propinas'!B152="","",'Controlo de Propinas'!B152)</f>
        <v/>
      </c>
      <c r="C126" s="184" t="str">
        <f>IF('Controlo de Propinas'!C152="","",'Controlo de Propinas'!C152)</f>
        <v>CM2</v>
      </c>
      <c r="D126" s="51">
        <f t="shared" si="13"/>
        <v>250000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1" t="str">
        <f t="shared" si="14"/>
        <v/>
      </c>
      <c r="P126" s="53" t="str">
        <f t="shared" si="15"/>
        <v/>
      </c>
      <c r="Q126" s="54"/>
    </row>
    <row r="127" spans="1:17" ht="15" customHeight="1" x14ac:dyDescent="0.25">
      <c r="A127" s="184" t="str">
        <f>IF('Controlo de Propinas'!A153="","",'Controlo de Propinas'!A153)</f>
        <v/>
      </c>
      <c r="B127" s="184" t="str">
        <f>IF('Controlo de Propinas'!B153="","",'Controlo de Propinas'!B153)</f>
        <v/>
      </c>
      <c r="C127" s="184" t="str">
        <f>IF('Controlo de Propinas'!C153="","",'Controlo de Propinas'!C153)</f>
        <v>CM2</v>
      </c>
      <c r="D127" s="51">
        <f t="shared" si="13"/>
        <v>250000</v>
      </c>
      <c r="E127" s="52">
        <v>0</v>
      </c>
      <c r="F127" s="52">
        <v>0</v>
      </c>
      <c r="G127" s="52">
        <v>0</v>
      </c>
      <c r="H127" s="52">
        <v>0</v>
      </c>
      <c r="I127" s="52">
        <v>0</v>
      </c>
      <c r="J127" s="52">
        <v>0</v>
      </c>
      <c r="K127" s="52">
        <v>0</v>
      </c>
      <c r="L127" s="52">
        <v>0</v>
      </c>
      <c r="M127" s="52">
        <v>0</v>
      </c>
      <c r="N127" s="52">
        <v>0</v>
      </c>
      <c r="O127" s="51" t="str">
        <f t="shared" si="14"/>
        <v/>
      </c>
      <c r="P127" s="53" t="str">
        <f t="shared" si="15"/>
        <v/>
      </c>
      <c r="Q127" s="54"/>
    </row>
    <row r="128" spans="1:17" ht="15" customHeight="1" x14ac:dyDescent="0.25">
      <c r="A128" s="184" t="str">
        <f>IF('Controlo de Propinas'!A154="","",'Controlo de Propinas'!A154)</f>
        <v/>
      </c>
      <c r="B128" s="184" t="str">
        <f>IF('Controlo de Propinas'!B154="","",'Controlo de Propinas'!B154)</f>
        <v/>
      </c>
      <c r="C128" s="184" t="str">
        <f>IF('Controlo de Propinas'!C154="","",'Controlo de Propinas'!C154)</f>
        <v>CM2</v>
      </c>
      <c r="D128" s="51">
        <f t="shared" si="13"/>
        <v>250000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  <c r="N128" s="52">
        <v>0</v>
      </c>
      <c r="O128" s="51" t="str">
        <f t="shared" si="14"/>
        <v/>
      </c>
      <c r="P128" s="53" t="str">
        <f t="shared" si="15"/>
        <v/>
      </c>
      <c r="Q128" s="54"/>
    </row>
    <row r="129" spans="1:17" ht="15" customHeight="1" x14ac:dyDescent="0.25">
      <c r="A129" s="184" t="str">
        <f>IF('Controlo de Propinas'!A155="","",'Controlo de Propinas'!A155)</f>
        <v/>
      </c>
      <c r="B129" s="184" t="str">
        <f>IF('Controlo de Propinas'!B155="","",'Controlo de Propinas'!B155)</f>
        <v/>
      </c>
      <c r="C129" s="184" t="str">
        <f>IF('Controlo de Propinas'!C155="","",'Controlo de Propinas'!C155)</f>
        <v>CM2</v>
      </c>
      <c r="D129" s="51">
        <f t="shared" si="13"/>
        <v>250000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1" t="str">
        <f t="shared" si="14"/>
        <v/>
      </c>
      <c r="P129" s="53" t="str">
        <f t="shared" si="15"/>
        <v/>
      </c>
      <c r="Q129" s="54"/>
    </row>
    <row r="130" spans="1:17" ht="15" customHeight="1" x14ac:dyDescent="0.25">
      <c r="A130" s="184" t="str">
        <f>IF('Controlo de Propinas'!A156="","",'Controlo de Propinas'!A156)</f>
        <v/>
      </c>
      <c r="B130" s="184" t="str">
        <f>IF('Controlo de Propinas'!B156="","",'Controlo de Propinas'!B156)</f>
        <v/>
      </c>
      <c r="C130" s="184" t="str">
        <f>IF('Controlo de Propinas'!C156="","",'Controlo de Propinas'!C156)</f>
        <v>CM2</v>
      </c>
      <c r="D130" s="51">
        <f t="shared" si="13"/>
        <v>250000</v>
      </c>
      <c r="E130" s="52">
        <v>0</v>
      </c>
      <c r="F130" s="52">
        <v>0</v>
      </c>
      <c r="G130" s="52">
        <v>0</v>
      </c>
      <c r="H130" s="52">
        <v>0</v>
      </c>
      <c r="I130" s="52">
        <v>0</v>
      </c>
      <c r="J130" s="52">
        <v>0</v>
      </c>
      <c r="K130" s="52">
        <v>0</v>
      </c>
      <c r="L130" s="52">
        <v>0</v>
      </c>
      <c r="M130" s="52">
        <v>0</v>
      </c>
      <c r="N130" s="52">
        <v>0</v>
      </c>
      <c r="O130" s="51" t="str">
        <f t="shared" si="14"/>
        <v/>
      </c>
      <c r="P130" s="53" t="str">
        <f t="shared" si="15"/>
        <v/>
      </c>
      <c r="Q130" s="54"/>
    </row>
    <row r="131" spans="1:17" ht="15" customHeight="1" x14ac:dyDescent="0.25">
      <c r="A131" s="184" t="str">
        <f>IF('Controlo de Propinas'!A157="","",'Controlo de Propinas'!A157)</f>
        <v/>
      </c>
      <c r="B131" s="184" t="str">
        <f>IF('Controlo de Propinas'!B157="","",'Controlo de Propinas'!B157)</f>
        <v/>
      </c>
      <c r="C131" s="184" t="str">
        <f>IF('Controlo de Propinas'!C157="","",'Controlo de Propinas'!C157)</f>
        <v>CM2</v>
      </c>
      <c r="D131" s="51">
        <f t="shared" si="13"/>
        <v>250000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1" t="str">
        <f t="shared" si="14"/>
        <v/>
      </c>
      <c r="P131" s="53" t="str">
        <f t="shared" si="15"/>
        <v/>
      </c>
      <c r="Q131" s="54"/>
    </row>
    <row r="132" spans="1:17" ht="15" customHeight="1" x14ac:dyDescent="0.25">
      <c r="A132" s="184" t="str">
        <f>IF('Controlo de Propinas'!A158="","",'Controlo de Propinas'!A158)</f>
        <v/>
      </c>
      <c r="B132" s="184" t="str">
        <f>IF('Controlo de Propinas'!B158="","",'Controlo de Propinas'!B158)</f>
        <v/>
      </c>
      <c r="C132" s="184" t="str">
        <f>IF('Controlo de Propinas'!C158="","",'Controlo de Propinas'!C158)</f>
        <v>CM2</v>
      </c>
      <c r="D132" s="51">
        <f t="shared" si="13"/>
        <v>250000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1" t="str">
        <f t="shared" si="14"/>
        <v/>
      </c>
      <c r="P132" s="53" t="str">
        <f t="shared" si="15"/>
        <v/>
      </c>
      <c r="Q132" s="54"/>
    </row>
    <row r="133" spans="1:17" ht="15" customHeight="1" x14ac:dyDescent="0.25">
      <c r="A133" s="184" t="str">
        <f>IF('Controlo de Propinas'!A159="","",'Controlo de Propinas'!A159)</f>
        <v/>
      </c>
      <c r="B133" s="184" t="str">
        <f>IF('Controlo de Propinas'!B159="","",'Controlo de Propinas'!B159)</f>
        <v/>
      </c>
      <c r="C133" s="184" t="str">
        <f>IF('Controlo de Propinas'!C159="","",'Controlo de Propinas'!C159)</f>
        <v>CM2</v>
      </c>
      <c r="D133" s="51">
        <f t="shared" si="13"/>
        <v>250000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1" t="str">
        <f t="shared" si="14"/>
        <v/>
      </c>
      <c r="P133" s="53" t="str">
        <f t="shared" si="15"/>
        <v/>
      </c>
      <c r="Q133" s="54"/>
    </row>
    <row r="134" spans="1:17" ht="15" customHeight="1" x14ac:dyDescent="0.25">
      <c r="A134" s="184" t="str">
        <f>IF('Controlo de Propinas'!A160="","",'Controlo de Propinas'!A160)</f>
        <v/>
      </c>
      <c r="B134" s="184" t="str">
        <f>IF('Controlo de Propinas'!B160="","",'Controlo de Propinas'!B160)</f>
        <v/>
      </c>
      <c r="C134" s="184" t="str">
        <f>IF('Controlo de Propinas'!C160="","",'Controlo de Propinas'!C160)</f>
        <v>CM2</v>
      </c>
      <c r="D134" s="51">
        <f t="shared" si="13"/>
        <v>250000</v>
      </c>
      <c r="E134" s="52">
        <v>0</v>
      </c>
      <c r="F134" s="52">
        <v>0</v>
      </c>
      <c r="G134" s="52">
        <v>0</v>
      </c>
      <c r="H134" s="52">
        <v>0</v>
      </c>
      <c r="I134" s="52">
        <v>0</v>
      </c>
      <c r="J134" s="52">
        <v>0</v>
      </c>
      <c r="K134" s="52">
        <v>0</v>
      </c>
      <c r="L134" s="52">
        <v>0</v>
      </c>
      <c r="M134" s="52">
        <v>0</v>
      </c>
      <c r="N134" s="52">
        <v>0</v>
      </c>
      <c r="O134" s="51" t="str">
        <f t="shared" si="14"/>
        <v/>
      </c>
      <c r="P134" s="53" t="str">
        <f t="shared" si="15"/>
        <v/>
      </c>
      <c r="Q134" s="54"/>
    </row>
    <row r="135" spans="1:17" ht="15" customHeight="1" x14ac:dyDescent="0.25">
      <c r="A135" s="184" t="str">
        <f>IF('Controlo de Propinas'!A161="","",'Controlo de Propinas'!A161)</f>
        <v/>
      </c>
      <c r="B135" s="184" t="str">
        <f>IF('Controlo de Propinas'!B161="","",'Controlo de Propinas'!B161)</f>
        <v/>
      </c>
      <c r="C135" s="184" t="str">
        <f>IF('Controlo de Propinas'!C161="","",'Controlo de Propinas'!C161)</f>
        <v>CM2</v>
      </c>
      <c r="D135" s="51">
        <f t="shared" ref="D135:D161" si="16">IF(C117="","",IF(OR(C117="Maternelle",C117="Maternelle P1",C117="Maternelle P2",C117="Maternelle P3"),170000,IF(C117="CM2",250000,IF(C117="4eme",260000,170000))))</f>
        <v>250000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1" t="str">
        <f t="shared" ref="O135:O161" si="17">IF(B117="","",SUM(E117:N117))</f>
        <v/>
      </c>
      <c r="P135" s="53" t="str">
        <f t="shared" ref="P135:P161" si="18">IF(B117="","",IF(O117=0,"Pendente",IF(O117&lt;D117,"Parcial","Pago")))</f>
        <v/>
      </c>
      <c r="Q135" s="54"/>
    </row>
    <row r="136" spans="1:17" ht="15" customHeight="1" x14ac:dyDescent="0.25">
      <c r="A136" s="184" t="str">
        <f>IF('Controlo de Propinas'!A162="","",'Controlo de Propinas'!A162)</f>
        <v/>
      </c>
      <c r="B136" s="184" t="str">
        <f>IF('Controlo de Propinas'!B162="","",'Controlo de Propinas'!B162)</f>
        <v/>
      </c>
      <c r="C136" s="184" t="str">
        <f>IF('Controlo de Propinas'!C162="","",'Controlo de Propinas'!C162)</f>
        <v>CM2</v>
      </c>
      <c r="D136" s="51">
        <f t="shared" si="16"/>
        <v>250000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1" t="str">
        <f t="shared" si="17"/>
        <v/>
      </c>
      <c r="P136" s="53" t="str">
        <f t="shared" si="18"/>
        <v/>
      </c>
      <c r="Q136" s="54"/>
    </row>
    <row r="137" spans="1:17" ht="15" customHeight="1" x14ac:dyDescent="0.25">
      <c r="A137" s="184" t="str">
        <f>IF('Controlo de Propinas'!A163="","",'Controlo de Propinas'!A163)</f>
        <v/>
      </c>
      <c r="B137" s="184" t="str">
        <f>IF('Controlo de Propinas'!B163="","",'Controlo de Propinas'!B163)</f>
        <v/>
      </c>
      <c r="C137" s="184" t="str">
        <f>IF('Controlo de Propinas'!C163="","",'Controlo de Propinas'!C163)</f>
        <v>CM2</v>
      </c>
      <c r="D137" s="51">
        <f t="shared" si="16"/>
        <v>250000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1" t="str">
        <f t="shared" si="17"/>
        <v/>
      </c>
      <c r="P137" s="53" t="str">
        <f t="shared" si="18"/>
        <v/>
      </c>
      <c r="Q137" s="54"/>
    </row>
    <row r="138" spans="1:17" ht="15" customHeight="1" x14ac:dyDescent="0.25">
      <c r="A138" s="184" t="str">
        <f>IF('Controlo de Propinas'!A164="","",'Controlo de Propinas'!A164)</f>
        <v/>
      </c>
      <c r="B138" s="184" t="str">
        <f>IF('Controlo de Propinas'!B164="","",'Controlo de Propinas'!B164)</f>
        <v/>
      </c>
      <c r="C138" s="184" t="str">
        <f>IF('Controlo de Propinas'!C164="","",'Controlo de Propinas'!C164)</f>
        <v>CM2</v>
      </c>
      <c r="D138" s="51">
        <f t="shared" si="16"/>
        <v>250000</v>
      </c>
      <c r="E138" s="52">
        <v>0</v>
      </c>
      <c r="F138" s="52">
        <v>0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1" t="str">
        <f t="shared" si="17"/>
        <v/>
      </c>
      <c r="P138" s="53" t="str">
        <f t="shared" si="18"/>
        <v/>
      </c>
      <c r="Q138" s="54"/>
    </row>
    <row r="139" spans="1:17" ht="15" customHeight="1" x14ac:dyDescent="0.25">
      <c r="A139" s="184" t="str">
        <f>IF('Controlo de Propinas'!A165="","",'Controlo de Propinas'!A165)</f>
        <v/>
      </c>
      <c r="B139" s="184" t="str">
        <f>IF('Controlo de Propinas'!B165="","",'Controlo de Propinas'!B165)</f>
        <v/>
      </c>
      <c r="C139" s="184" t="str">
        <f>IF('Controlo de Propinas'!C165="","",'Controlo de Propinas'!C165)</f>
        <v>CM2</v>
      </c>
      <c r="D139" s="51">
        <f t="shared" si="16"/>
        <v>250000</v>
      </c>
      <c r="E139" s="52">
        <v>0</v>
      </c>
      <c r="F139" s="52">
        <v>0</v>
      </c>
      <c r="G139" s="52">
        <v>0</v>
      </c>
      <c r="H139" s="52">
        <v>0</v>
      </c>
      <c r="I139" s="52">
        <v>0</v>
      </c>
      <c r="J139" s="52">
        <v>0</v>
      </c>
      <c r="K139" s="52">
        <v>0</v>
      </c>
      <c r="L139" s="52">
        <v>0</v>
      </c>
      <c r="M139" s="52">
        <v>0</v>
      </c>
      <c r="N139" s="52">
        <v>0</v>
      </c>
      <c r="O139" s="51" t="str">
        <f t="shared" si="17"/>
        <v/>
      </c>
      <c r="P139" s="53" t="str">
        <f t="shared" si="18"/>
        <v/>
      </c>
      <c r="Q139" s="54"/>
    </row>
    <row r="140" spans="1:17" ht="15" customHeight="1" x14ac:dyDescent="0.25">
      <c r="A140" s="184" t="str">
        <f>IF('Controlo de Propinas'!A166="","",'Controlo de Propinas'!A166)</f>
        <v/>
      </c>
      <c r="B140" s="184" t="str">
        <f>IF('Controlo de Propinas'!B166="","",'Controlo de Propinas'!B166)</f>
        <v/>
      </c>
      <c r="C140" s="184" t="str">
        <f>IF('Controlo de Propinas'!C166="","",'Controlo de Propinas'!C166)</f>
        <v>CM2</v>
      </c>
      <c r="D140" s="51">
        <f t="shared" si="16"/>
        <v>250000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1" t="str">
        <f t="shared" si="17"/>
        <v/>
      </c>
      <c r="P140" s="53" t="str">
        <f t="shared" si="18"/>
        <v/>
      </c>
      <c r="Q140" s="54"/>
    </row>
    <row r="141" spans="1:17" ht="15" customHeight="1" x14ac:dyDescent="0.25">
      <c r="A141" s="184" t="str">
        <f>IF('Controlo de Propinas'!A167="","",'Controlo de Propinas'!A167)</f>
        <v/>
      </c>
      <c r="B141" s="184" t="str">
        <f>IF('Controlo de Propinas'!B167="","",'Controlo de Propinas'!B167)</f>
        <v/>
      </c>
      <c r="C141" s="184" t="str">
        <f>IF('Controlo de Propinas'!C167="","",'Controlo de Propinas'!C167)</f>
        <v>CM2</v>
      </c>
      <c r="D141" s="51">
        <f t="shared" si="16"/>
        <v>250000</v>
      </c>
      <c r="E141" s="52">
        <v>0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0</v>
      </c>
      <c r="N141" s="52">
        <v>0</v>
      </c>
      <c r="O141" s="51" t="str">
        <f t="shared" si="17"/>
        <v/>
      </c>
      <c r="P141" s="53" t="str">
        <f t="shared" si="18"/>
        <v/>
      </c>
      <c r="Q141" s="54"/>
    </row>
    <row r="142" spans="1:17" ht="15" customHeight="1" x14ac:dyDescent="0.25">
      <c r="A142" s="184" t="str">
        <f>IF('Controlo de Propinas'!A168="","",'Controlo de Propinas'!A168)</f>
        <v/>
      </c>
      <c r="B142" s="184" t="str">
        <f>IF('Controlo de Propinas'!B168="","",'Controlo de Propinas'!B168)</f>
        <v/>
      </c>
      <c r="C142" s="184" t="str">
        <f>IF('Controlo de Propinas'!C168="","",'Controlo de Propinas'!C168)</f>
        <v>CM2</v>
      </c>
      <c r="D142" s="51">
        <f t="shared" si="16"/>
        <v>250000</v>
      </c>
      <c r="E142" s="52">
        <v>0</v>
      </c>
      <c r="F142" s="52">
        <v>0</v>
      </c>
      <c r="G142" s="52">
        <v>0</v>
      </c>
      <c r="H142" s="52">
        <v>0</v>
      </c>
      <c r="I142" s="52">
        <v>0</v>
      </c>
      <c r="J142" s="52">
        <v>0</v>
      </c>
      <c r="K142" s="52">
        <v>0</v>
      </c>
      <c r="L142" s="52">
        <v>0</v>
      </c>
      <c r="M142" s="52">
        <v>0</v>
      </c>
      <c r="N142" s="52">
        <v>0</v>
      </c>
      <c r="O142" s="51" t="str">
        <f t="shared" si="17"/>
        <v/>
      </c>
      <c r="P142" s="53" t="str">
        <f t="shared" si="18"/>
        <v/>
      </c>
      <c r="Q142" s="54"/>
    </row>
    <row r="143" spans="1:17" ht="15" customHeight="1" x14ac:dyDescent="0.25">
      <c r="A143" s="184" t="str">
        <f>IF('Controlo de Propinas'!A169="","",'Controlo de Propinas'!A169)</f>
        <v/>
      </c>
      <c r="B143" s="184" t="str">
        <f>IF('Controlo de Propinas'!B169="","",'Controlo de Propinas'!B169)</f>
        <v/>
      </c>
      <c r="C143" s="184" t="str">
        <f>IF('Controlo de Propinas'!C169="","",'Controlo de Propinas'!C169)</f>
        <v>CM2</v>
      </c>
      <c r="D143" s="51">
        <f t="shared" si="16"/>
        <v>250000</v>
      </c>
      <c r="E143" s="52">
        <v>0</v>
      </c>
      <c r="F143" s="52">
        <v>0</v>
      </c>
      <c r="G143" s="52">
        <v>0</v>
      </c>
      <c r="H143" s="52">
        <v>0</v>
      </c>
      <c r="I143" s="52">
        <v>0</v>
      </c>
      <c r="J143" s="52">
        <v>0</v>
      </c>
      <c r="K143" s="52">
        <v>0</v>
      </c>
      <c r="L143" s="52">
        <v>0</v>
      </c>
      <c r="M143" s="52">
        <v>0</v>
      </c>
      <c r="N143" s="52">
        <v>0</v>
      </c>
      <c r="O143" s="51" t="str">
        <f t="shared" si="17"/>
        <v/>
      </c>
      <c r="P143" s="53" t="str">
        <f t="shared" si="18"/>
        <v/>
      </c>
      <c r="Q143" s="54"/>
    </row>
    <row r="144" spans="1:17" ht="15" customHeight="1" x14ac:dyDescent="0.25">
      <c r="A144" s="184" t="str">
        <f>IF('Controlo de Propinas'!A170="","",'Controlo de Propinas'!A170)</f>
        <v/>
      </c>
      <c r="B144" s="184" t="str">
        <f>IF('Controlo de Propinas'!B170="","",'Controlo de Propinas'!B170)</f>
        <v/>
      </c>
      <c r="C144" s="184" t="str">
        <f>IF('Controlo de Propinas'!C170="","",'Controlo de Propinas'!C170)</f>
        <v>CM2</v>
      </c>
      <c r="D144" s="51">
        <f t="shared" si="16"/>
        <v>250000</v>
      </c>
      <c r="E144" s="52">
        <v>0</v>
      </c>
      <c r="F144" s="52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1" t="str">
        <f t="shared" si="17"/>
        <v/>
      </c>
      <c r="P144" s="53" t="str">
        <f t="shared" si="18"/>
        <v/>
      </c>
      <c r="Q144" s="54"/>
    </row>
    <row r="145" spans="1:17" ht="15" customHeight="1" x14ac:dyDescent="0.25">
      <c r="A145" s="184" t="str">
        <f>IF('Controlo de Propinas'!A171="","",'Controlo de Propinas'!A171)</f>
        <v/>
      </c>
      <c r="B145" s="184" t="str">
        <f>IF('Controlo de Propinas'!B171="","",'Controlo de Propinas'!B171)</f>
        <v/>
      </c>
      <c r="C145" s="184" t="str">
        <f>IF('Controlo de Propinas'!C171="","",'Controlo de Propinas'!C171)</f>
        <v>CM2</v>
      </c>
      <c r="D145" s="51">
        <f t="shared" si="16"/>
        <v>250000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1" t="str">
        <f t="shared" si="17"/>
        <v/>
      </c>
      <c r="P145" s="53" t="str">
        <f t="shared" si="18"/>
        <v/>
      </c>
      <c r="Q145" s="54"/>
    </row>
    <row r="146" spans="1:17" ht="15" customHeight="1" x14ac:dyDescent="0.25">
      <c r="A146" s="184" t="str">
        <f>IF('Controlo de Propinas'!A172="","",'Controlo de Propinas'!A172)</f>
        <v/>
      </c>
      <c r="B146" s="184" t="str">
        <f>IF('Controlo de Propinas'!B172="","",'Controlo de Propinas'!B172)</f>
        <v/>
      </c>
      <c r="C146" s="184" t="str">
        <f>IF('Controlo de Propinas'!C172="","",'Controlo de Propinas'!C172)</f>
        <v>CM2</v>
      </c>
      <c r="D146" s="51">
        <f t="shared" si="16"/>
        <v>250000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1" t="str">
        <f t="shared" si="17"/>
        <v/>
      </c>
      <c r="P146" s="53" t="str">
        <f t="shared" si="18"/>
        <v/>
      </c>
      <c r="Q146" s="54"/>
    </row>
    <row r="147" spans="1:17" ht="15" customHeight="1" x14ac:dyDescent="0.25">
      <c r="A147" s="184" t="e">
        <f>IF('Controlo de Propinas'!#REF!="","",'Controlo de Propinas'!#REF!)</f>
        <v>#REF!</v>
      </c>
      <c r="B147" s="184" t="e">
        <f>IF('Controlo de Propinas'!#REF!="","",'Controlo de Propinas'!#REF!)</f>
        <v>#REF!</v>
      </c>
      <c r="C147" s="184" t="e">
        <f>IF('Controlo de Propinas'!#REF!="","",'Controlo de Propinas'!#REF!)</f>
        <v>#REF!</v>
      </c>
      <c r="D147" s="51">
        <f t="shared" si="16"/>
        <v>250000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1" t="str">
        <f t="shared" si="17"/>
        <v/>
      </c>
      <c r="P147" s="53" t="str">
        <f t="shared" si="18"/>
        <v/>
      </c>
      <c r="Q147" s="54"/>
    </row>
    <row r="148" spans="1:17" ht="15" customHeight="1" x14ac:dyDescent="0.25">
      <c r="A148" s="184" t="str">
        <f>IF('Controlo de Propinas'!A173="","",'Controlo de Propinas'!A173)</f>
        <v/>
      </c>
      <c r="B148" s="184" t="str">
        <f>IF('Controlo de Propinas'!B173="","",'Controlo de Propinas'!B173)</f>
        <v/>
      </c>
      <c r="C148" s="184" t="str">
        <f>IF('Controlo de Propinas'!C173="","",'Controlo de Propinas'!C173)</f>
        <v>CM2</v>
      </c>
      <c r="D148" s="51">
        <f t="shared" si="16"/>
        <v>250000</v>
      </c>
      <c r="E148" s="52">
        <v>0</v>
      </c>
      <c r="F148" s="52">
        <v>0</v>
      </c>
      <c r="G148" s="52">
        <v>0</v>
      </c>
      <c r="H148" s="52">
        <v>0</v>
      </c>
      <c r="I148" s="52">
        <v>0</v>
      </c>
      <c r="J148" s="52">
        <v>0</v>
      </c>
      <c r="K148" s="52">
        <v>0</v>
      </c>
      <c r="L148" s="52">
        <v>0</v>
      </c>
      <c r="M148" s="52">
        <v>0</v>
      </c>
      <c r="N148" s="52">
        <v>0</v>
      </c>
      <c r="O148" s="51" t="str">
        <f t="shared" si="17"/>
        <v/>
      </c>
      <c r="P148" s="53" t="str">
        <f t="shared" si="18"/>
        <v/>
      </c>
      <c r="Q148" s="54"/>
    </row>
    <row r="149" spans="1:17" ht="15" customHeight="1" x14ac:dyDescent="0.25">
      <c r="A149" s="184" t="str">
        <f>IF('Controlo de Propinas'!A174="","",'Controlo de Propinas'!A174)</f>
        <v/>
      </c>
      <c r="B149" s="184" t="str">
        <f>IF('Controlo de Propinas'!B174="","",'Controlo de Propinas'!B174)</f>
        <v/>
      </c>
      <c r="C149" s="184" t="str">
        <f>IF('Controlo de Propinas'!C174="","",'Controlo de Propinas'!C174)</f>
        <v>CM2</v>
      </c>
      <c r="D149" s="51">
        <f t="shared" si="16"/>
        <v>250000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1" t="str">
        <f t="shared" si="17"/>
        <v/>
      </c>
      <c r="P149" s="53" t="str">
        <f t="shared" si="18"/>
        <v/>
      </c>
      <c r="Q149" s="54"/>
    </row>
    <row r="150" spans="1:17" ht="15" customHeight="1" x14ac:dyDescent="0.25">
      <c r="A150" s="184" t="str">
        <f>IF('Controlo de Propinas'!A175="","",'Controlo de Propinas'!A175)</f>
        <v/>
      </c>
      <c r="B150" s="184" t="str">
        <f>IF('Controlo de Propinas'!B175="","",'Controlo de Propinas'!B175)</f>
        <v/>
      </c>
      <c r="C150" s="184" t="str">
        <f>IF('Controlo de Propinas'!C175="","",'Controlo de Propinas'!C175)</f>
        <v>CM2</v>
      </c>
      <c r="D150" s="51">
        <f t="shared" si="16"/>
        <v>250000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1" t="str">
        <f t="shared" si="17"/>
        <v/>
      </c>
      <c r="P150" s="53" t="str">
        <f t="shared" si="18"/>
        <v/>
      </c>
      <c r="Q150" s="54"/>
    </row>
    <row r="151" spans="1:17" ht="15" customHeight="1" x14ac:dyDescent="0.25">
      <c r="A151" s="184" t="str">
        <f>IF('Controlo de Propinas'!A176="","",'Controlo de Propinas'!A176)</f>
        <v/>
      </c>
      <c r="B151" s="184" t="str">
        <f>IF('Controlo de Propinas'!B176="","",'Controlo de Propinas'!B176)</f>
        <v/>
      </c>
      <c r="C151" s="184" t="str">
        <f>IF('Controlo de Propinas'!C176="","",'Controlo de Propinas'!C176)</f>
        <v>CM2</v>
      </c>
      <c r="D151" s="51">
        <f t="shared" si="16"/>
        <v>250000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1" t="str">
        <f t="shared" si="17"/>
        <v/>
      </c>
      <c r="P151" s="53" t="str">
        <f t="shared" si="18"/>
        <v/>
      </c>
      <c r="Q151" s="54"/>
    </row>
    <row r="152" spans="1:17" ht="15" customHeight="1" x14ac:dyDescent="0.25">
      <c r="A152" s="184" t="str">
        <f>IF('Controlo de Propinas'!A177="","",'Controlo de Propinas'!A177)</f>
        <v/>
      </c>
      <c r="B152" s="184" t="str">
        <f>IF('Controlo de Propinas'!B177="","",'Controlo de Propinas'!B177)</f>
        <v/>
      </c>
      <c r="C152" s="184" t="str">
        <f>IF('Controlo de Propinas'!C177="","",'Controlo de Propinas'!C177)</f>
        <v>CM2</v>
      </c>
      <c r="D152" s="51">
        <f t="shared" si="16"/>
        <v>250000</v>
      </c>
      <c r="E152" s="52">
        <v>0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2">
        <v>0</v>
      </c>
      <c r="L152" s="52">
        <v>0</v>
      </c>
      <c r="M152" s="52">
        <v>0</v>
      </c>
      <c r="N152" s="52">
        <v>0</v>
      </c>
      <c r="O152" s="51" t="str">
        <f t="shared" si="17"/>
        <v/>
      </c>
      <c r="P152" s="53" t="str">
        <f t="shared" si="18"/>
        <v/>
      </c>
      <c r="Q152" s="54"/>
    </row>
    <row r="153" spans="1:17" ht="15" customHeight="1" x14ac:dyDescent="0.25">
      <c r="A153" s="184" t="str">
        <f>IF('Controlo de Propinas'!A178="","",'Controlo de Propinas'!A178)</f>
        <v/>
      </c>
      <c r="B153" s="184" t="str">
        <f>IF('Controlo de Propinas'!B178="","",'Controlo de Propinas'!B178)</f>
        <v/>
      </c>
      <c r="C153" s="184" t="str">
        <f>IF('Controlo de Propinas'!C178="","",'Controlo de Propinas'!C178)</f>
        <v>CM2</v>
      </c>
      <c r="D153" s="51">
        <f t="shared" si="16"/>
        <v>250000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1" t="str">
        <f t="shared" si="17"/>
        <v/>
      </c>
      <c r="P153" s="53" t="str">
        <f t="shared" si="18"/>
        <v/>
      </c>
      <c r="Q153" s="54"/>
    </row>
    <row r="154" spans="1:17" ht="15" customHeight="1" x14ac:dyDescent="0.25">
      <c r="A154" s="184" t="str">
        <f>IF('Controlo de Propinas'!A179="","",'Controlo de Propinas'!A179)</f>
        <v/>
      </c>
      <c r="B154" s="184" t="str">
        <f>IF('Controlo de Propinas'!B179="","",'Controlo de Propinas'!B179)</f>
        <v/>
      </c>
      <c r="C154" s="184" t="str">
        <f>IF('Controlo de Propinas'!C179="","",'Controlo de Propinas'!C179)</f>
        <v>CM2</v>
      </c>
      <c r="D154" s="51">
        <f t="shared" si="16"/>
        <v>250000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1" t="str">
        <f t="shared" si="17"/>
        <v/>
      </c>
      <c r="P154" s="53" t="str">
        <f t="shared" si="18"/>
        <v/>
      </c>
      <c r="Q154" s="54"/>
    </row>
    <row r="155" spans="1:17" ht="15" customHeight="1" x14ac:dyDescent="0.25">
      <c r="A155" s="184" t="str">
        <f>IF('Controlo de Propinas'!A180="","",'Controlo de Propinas'!A180)</f>
        <v/>
      </c>
      <c r="B155" s="184" t="str">
        <f>IF('Controlo de Propinas'!B180="","",'Controlo de Propinas'!B180)</f>
        <v/>
      </c>
      <c r="C155" s="184" t="str">
        <f>IF('Controlo de Propinas'!C180="","",'Controlo de Propinas'!C180)</f>
        <v>CM2</v>
      </c>
      <c r="D155" s="51">
        <f t="shared" si="16"/>
        <v>250000</v>
      </c>
      <c r="E155" s="52">
        <v>0</v>
      </c>
      <c r="F155" s="52">
        <v>0</v>
      </c>
      <c r="G155" s="52">
        <v>0</v>
      </c>
      <c r="H155" s="52">
        <v>0</v>
      </c>
      <c r="I155" s="52">
        <v>0</v>
      </c>
      <c r="J155" s="52">
        <v>0</v>
      </c>
      <c r="K155" s="52">
        <v>0</v>
      </c>
      <c r="L155" s="52">
        <v>0</v>
      </c>
      <c r="M155" s="52">
        <v>0</v>
      </c>
      <c r="N155" s="52">
        <v>0</v>
      </c>
      <c r="O155" s="51" t="str">
        <f t="shared" si="17"/>
        <v/>
      </c>
      <c r="P155" s="53" t="str">
        <f t="shared" si="18"/>
        <v/>
      </c>
      <c r="Q155" s="54"/>
    </row>
    <row r="156" spans="1:17" ht="15" customHeight="1" x14ac:dyDescent="0.25">
      <c r="A156" s="184" t="str">
        <f>IF('Controlo de Propinas'!A181="","",'Controlo de Propinas'!A181)</f>
        <v/>
      </c>
      <c r="B156" s="184" t="str">
        <f>IF('Controlo de Propinas'!B181="","",'Controlo de Propinas'!B181)</f>
        <v/>
      </c>
      <c r="C156" s="184" t="str">
        <f>IF('Controlo de Propinas'!C181="","",'Controlo de Propinas'!C181)</f>
        <v>CM2</v>
      </c>
      <c r="D156" s="51">
        <f t="shared" si="16"/>
        <v>250000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0</v>
      </c>
      <c r="K156" s="52">
        <v>0</v>
      </c>
      <c r="L156" s="52">
        <v>0</v>
      </c>
      <c r="M156" s="52">
        <v>0</v>
      </c>
      <c r="N156" s="52">
        <v>0</v>
      </c>
      <c r="O156" s="51" t="str">
        <f t="shared" si="17"/>
        <v/>
      </c>
      <c r="P156" s="53" t="str">
        <f t="shared" si="18"/>
        <v/>
      </c>
      <c r="Q156" s="54"/>
    </row>
    <row r="157" spans="1:17" ht="15" customHeight="1" x14ac:dyDescent="0.25">
      <c r="A157" s="184" t="str">
        <f>IF('Controlo de Propinas'!A182="","",'Controlo de Propinas'!A182)</f>
        <v/>
      </c>
      <c r="B157" s="184" t="str">
        <f>IF('Controlo de Propinas'!B182="","",'Controlo de Propinas'!B182)</f>
        <v/>
      </c>
      <c r="C157" s="184" t="str">
        <f>IF('Controlo de Propinas'!C182="","",'Controlo de Propinas'!C182)</f>
        <v>CM2</v>
      </c>
      <c r="D157" s="51">
        <f t="shared" si="16"/>
        <v>250000</v>
      </c>
      <c r="E157" s="52">
        <v>0</v>
      </c>
      <c r="F157" s="52">
        <v>0</v>
      </c>
      <c r="G157" s="52">
        <v>0</v>
      </c>
      <c r="H157" s="52">
        <v>0</v>
      </c>
      <c r="I157" s="52">
        <v>0</v>
      </c>
      <c r="J157" s="52">
        <v>0</v>
      </c>
      <c r="K157" s="52">
        <v>0</v>
      </c>
      <c r="L157" s="52">
        <v>0</v>
      </c>
      <c r="M157" s="52">
        <v>0</v>
      </c>
      <c r="N157" s="52">
        <v>0</v>
      </c>
      <c r="O157" s="51" t="str">
        <f t="shared" si="17"/>
        <v/>
      </c>
      <c r="P157" s="53" t="str">
        <f t="shared" si="18"/>
        <v/>
      </c>
      <c r="Q157" s="54"/>
    </row>
    <row r="158" spans="1:17" ht="15" customHeight="1" x14ac:dyDescent="0.25">
      <c r="A158" s="184" t="str">
        <f>IF('Controlo de Propinas'!A183="","",'Controlo de Propinas'!A183)</f>
        <v/>
      </c>
      <c r="B158" s="184" t="str">
        <f>IF('Controlo de Propinas'!B183="","",'Controlo de Propinas'!B183)</f>
        <v/>
      </c>
      <c r="C158" s="184" t="str">
        <f>IF('Controlo de Propinas'!C183="","",'Controlo de Propinas'!C183)</f>
        <v>CM2</v>
      </c>
      <c r="D158" s="51">
        <f t="shared" si="16"/>
        <v>250000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1" t="str">
        <f t="shared" si="17"/>
        <v/>
      </c>
      <c r="P158" s="53" t="str">
        <f t="shared" si="18"/>
        <v/>
      </c>
      <c r="Q158" s="54"/>
    </row>
    <row r="159" spans="1:17" ht="15" customHeight="1" x14ac:dyDescent="0.25">
      <c r="A159" s="184" t="str">
        <f>IF('Controlo de Propinas'!A184="","",'Controlo de Propinas'!A184)</f>
        <v/>
      </c>
      <c r="B159" s="184" t="str">
        <f>IF('Controlo de Propinas'!B184="","",'Controlo de Propinas'!B184)</f>
        <v/>
      </c>
      <c r="C159" s="184" t="str">
        <f>IF('Controlo de Propinas'!C184="","",'Controlo de Propinas'!C184)</f>
        <v>CM2</v>
      </c>
      <c r="D159" s="51">
        <f t="shared" si="16"/>
        <v>250000</v>
      </c>
      <c r="E159" s="52">
        <v>0</v>
      </c>
      <c r="F159" s="52">
        <v>0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0</v>
      </c>
      <c r="N159" s="52">
        <v>0</v>
      </c>
      <c r="O159" s="51" t="str">
        <f t="shared" si="17"/>
        <v/>
      </c>
      <c r="P159" s="53" t="str">
        <f t="shared" si="18"/>
        <v/>
      </c>
      <c r="Q159" s="54"/>
    </row>
    <row r="160" spans="1:17" ht="15" customHeight="1" x14ac:dyDescent="0.25">
      <c r="A160" s="184" t="str">
        <f>IF('Controlo de Propinas'!A185="","",'Controlo de Propinas'!A185)</f>
        <v/>
      </c>
      <c r="B160" s="184" t="str">
        <f>IF('Controlo de Propinas'!B185="","",'Controlo de Propinas'!B185)</f>
        <v/>
      </c>
      <c r="C160" s="184" t="str">
        <f>IF('Controlo de Propinas'!C185="","",'Controlo de Propinas'!C185)</f>
        <v>CM2</v>
      </c>
      <c r="D160" s="51">
        <f t="shared" si="16"/>
        <v>250000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2">
        <v>0</v>
      </c>
      <c r="M160" s="52">
        <v>0</v>
      </c>
      <c r="N160" s="52">
        <v>0</v>
      </c>
      <c r="O160" s="51" t="str">
        <f t="shared" si="17"/>
        <v/>
      </c>
      <c r="P160" s="53" t="str">
        <f t="shared" si="18"/>
        <v/>
      </c>
      <c r="Q160" s="54"/>
    </row>
    <row r="161" spans="1:17" x14ac:dyDescent="0.25">
      <c r="A161" s="184" t="str">
        <f>IF('Controlo de Propinas'!A186="","",'Controlo de Propinas'!A186)</f>
        <v/>
      </c>
      <c r="B161" s="184" t="str">
        <f>IF('Controlo de Propinas'!B186="","",'Controlo de Propinas'!B186)</f>
        <v/>
      </c>
      <c r="C161" s="184" t="str">
        <f>IF('Controlo de Propinas'!C186="","",'Controlo de Propinas'!C186)</f>
        <v>CM2</v>
      </c>
      <c r="D161" s="51">
        <f t="shared" si="16"/>
        <v>250000</v>
      </c>
      <c r="E161" s="52">
        <v>0</v>
      </c>
      <c r="F161" s="52">
        <v>0</v>
      </c>
      <c r="G161" s="52">
        <v>0</v>
      </c>
      <c r="H161" s="52">
        <v>0</v>
      </c>
      <c r="I161" s="52">
        <v>0</v>
      </c>
      <c r="J161" s="52">
        <v>0</v>
      </c>
      <c r="K161" s="52">
        <v>0</v>
      </c>
      <c r="L161" s="52">
        <v>0</v>
      </c>
      <c r="M161" s="52">
        <v>0</v>
      </c>
      <c r="N161" s="52">
        <v>0</v>
      </c>
      <c r="O161" s="51" t="str">
        <f t="shared" si="17"/>
        <v/>
      </c>
      <c r="P161" s="53" t="str">
        <f t="shared" si="18"/>
        <v/>
      </c>
      <c r="Q161" s="54"/>
    </row>
    <row r="162" spans="1:17" ht="18" customHeight="1" x14ac:dyDescent="0.25">
      <c r="A162" s="253" t="str">
        <f>IF('Controlo de Propinas'!A187="","",'Controlo de Propinas'!A187)</f>
        <v/>
      </c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5"/>
    </row>
    <row r="163" spans="1:17" ht="21.75" customHeight="1" x14ac:dyDescent="0.25">
      <c r="A163" s="184"/>
      <c r="B163" s="184"/>
      <c r="C163" s="184"/>
      <c r="D163" s="184"/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0</v>
      </c>
      <c r="K163" s="52">
        <v>0</v>
      </c>
      <c r="L163" s="52">
        <v>0</v>
      </c>
      <c r="M163" s="52">
        <v>0</v>
      </c>
      <c r="N163" s="52">
        <v>0</v>
      </c>
      <c r="O163" s="51" t="str">
        <f t="shared" ref="O163:O177" si="19">IF(B145="","",SUM(E145:N145))</f>
        <v/>
      </c>
      <c r="P163" s="53" t="str">
        <f t="shared" ref="P163:P177" si="20">IF(B145="","",IF(O145=0,"Pendente",IF(O145&lt;D145,"Parcial","Pago")))</f>
        <v/>
      </c>
      <c r="Q163" s="54"/>
    </row>
    <row r="164" spans="1:17" ht="15" customHeight="1" x14ac:dyDescent="0.25">
      <c r="A164" s="184"/>
      <c r="B164" s="184"/>
      <c r="C164" s="184"/>
      <c r="D164" s="184"/>
      <c r="E164" s="52">
        <v>0</v>
      </c>
      <c r="F164" s="52">
        <v>0</v>
      </c>
      <c r="G164" s="52">
        <v>0</v>
      </c>
      <c r="H164" s="52">
        <v>0</v>
      </c>
      <c r="I164" s="52">
        <v>0</v>
      </c>
      <c r="J164" s="52">
        <v>0</v>
      </c>
      <c r="K164" s="52">
        <v>0</v>
      </c>
      <c r="L164" s="52">
        <v>0</v>
      </c>
      <c r="M164" s="52">
        <v>0</v>
      </c>
      <c r="N164" s="52">
        <v>0</v>
      </c>
      <c r="O164" s="51" t="str">
        <f t="shared" si="19"/>
        <v/>
      </c>
      <c r="P164" s="53" t="str">
        <f t="shared" si="20"/>
        <v/>
      </c>
      <c r="Q164" s="54"/>
    </row>
    <row r="165" spans="1:17" ht="15" customHeight="1" x14ac:dyDescent="0.25">
      <c r="A165" s="184"/>
      <c r="B165" s="184"/>
      <c r="C165" s="184"/>
      <c r="D165" s="184"/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1" t="e">
        <f t="shared" si="19"/>
        <v>#REF!</v>
      </c>
      <c r="P165" s="53" t="e">
        <f t="shared" si="20"/>
        <v>#REF!</v>
      </c>
      <c r="Q165" s="54"/>
    </row>
    <row r="166" spans="1:17" ht="15" customHeight="1" x14ac:dyDescent="0.25">
      <c r="A166" s="184"/>
      <c r="B166" s="184"/>
      <c r="C166" s="184"/>
      <c r="D166" s="184"/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2">
        <v>0</v>
      </c>
      <c r="M166" s="52">
        <v>0</v>
      </c>
      <c r="N166" s="52">
        <v>0</v>
      </c>
      <c r="O166" s="51" t="str">
        <f t="shared" si="19"/>
        <v/>
      </c>
      <c r="P166" s="53" t="str">
        <f t="shared" si="20"/>
        <v/>
      </c>
      <c r="Q166" s="54"/>
    </row>
    <row r="167" spans="1:17" ht="15" customHeight="1" x14ac:dyDescent="0.25">
      <c r="A167" s="184"/>
      <c r="B167" s="184"/>
      <c r="C167" s="184"/>
      <c r="D167" s="184"/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1" t="str">
        <f t="shared" si="19"/>
        <v/>
      </c>
      <c r="P167" s="53" t="str">
        <f t="shared" si="20"/>
        <v/>
      </c>
      <c r="Q167" s="54"/>
    </row>
    <row r="168" spans="1:17" ht="15" customHeight="1" x14ac:dyDescent="0.25">
      <c r="A168" s="184"/>
      <c r="B168" s="184"/>
      <c r="C168" s="184"/>
      <c r="D168" s="184"/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1" t="str">
        <f t="shared" si="19"/>
        <v/>
      </c>
      <c r="P168" s="53" t="str">
        <f t="shared" si="20"/>
        <v/>
      </c>
      <c r="Q168" s="54"/>
    </row>
    <row r="169" spans="1:17" ht="15" customHeight="1" x14ac:dyDescent="0.25">
      <c r="A169" s="184"/>
      <c r="B169" s="184"/>
      <c r="C169" s="184"/>
      <c r="D169" s="184"/>
      <c r="E169" s="52">
        <v>0</v>
      </c>
      <c r="F169" s="52">
        <v>0</v>
      </c>
      <c r="G169" s="52">
        <v>0</v>
      </c>
      <c r="H169" s="52">
        <v>0</v>
      </c>
      <c r="I169" s="52">
        <v>0</v>
      </c>
      <c r="J169" s="52">
        <v>0</v>
      </c>
      <c r="K169" s="52">
        <v>0</v>
      </c>
      <c r="L169" s="52">
        <v>0</v>
      </c>
      <c r="M169" s="52">
        <v>0</v>
      </c>
      <c r="N169" s="52">
        <v>0</v>
      </c>
      <c r="O169" s="51" t="str">
        <f t="shared" si="19"/>
        <v/>
      </c>
      <c r="P169" s="53" t="str">
        <f t="shared" si="20"/>
        <v/>
      </c>
      <c r="Q169" s="54"/>
    </row>
    <row r="170" spans="1:17" ht="15" customHeight="1" x14ac:dyDescent="0.25">
      <c r="A170" s="184"/>
      <c r="B170" s="184"/>
      <c r="C170" s="184"/>
      <c r="D170" s="184"/>
      <c r="E170" s="52">
        <v>0</v>
      </c>
      <c r="F170" s="52">
        <v>0</v>
      </c>
      <c r="G170" s="52">
        <v>0</v>
      </c>
      <c r="H170" s="52">
        <v>0</v>
      </c>
      <c r="I170" s="52">
        <v>0</v>
      </c>
      <c r="J170" s="52">
        <v>0</v>
      </c>
      <c r="K170" s="52">
        <v>0</v>
      </c>
      <c r="L170" s="52">
        <v>0</v>
      </c>
      <c r="M170" s="52">
        <v>0</v>
      </c>
      <c r="N170" s="52">
        <v>0</v>
      </c>
      <c r="O170" s="51" t="str">
        <f t="shared" si="19"/>
        <v/>
      </c>
      <c r="P170" s="53" t="str">
        <f t="shared" si="20"/>
        <v/>
      </c>
      <c r="Q170" s="54"/>
    </row>
    <row r="171" spans="1:17" ht="15" customHeight="1" x14ac:dyDescent="0.25">
      <c r="A171" s="184"/>
      <c r="B171" s="184"/>
      <c r="C171" s="184"/>
      <c r="D171" s="184"/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1" t="str">
        <f t="shared" si="19"/>
        <v/>
      </c>
      <c r="P171" s="53" t="str">
        <f t="shared" si="20"/>
        <v/>
      </c>
      <c r="Q171" s="54"/>
    </row>
    <row r="172" spans="1:17" ht="15" customHeight="1" x14ac:dyDescent="0.25">
      <c r="A172" s="184"/>
      <c r="B172" s="184"/>
      <c r="C172" s="184"/>
      <c r="D172" s="184"/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1" t="str">
        <f t="shared" si="19"/>
        <v/>
      </c>
      <c r="P172" s="53" t="str">
        <f t="shared" si="20"/>
        <v/>
      </c>
      <c r="Q172" s="54"/>
    </row>
    <row r="173" spans="1:17" ht="15" customHeight="1" x14ac:dyDescent="0.25">
      <c r="A173" s="184"/>
      <c r="B173" s="184"/>
      <c r="C173" s="184"/>
      <c r="D173" s="184"/>
      <c r="E173" s="52">
        <v>0</v>
      </c>
      <c r="F173" s="52">
        <v>0</v>
      </c>
      <c r="G173" s="52">
        <v>0</v>
      </c>
      <c r="H173" s="52">
        <v>0</v>
      </c>
      <c r="I173" s="52">
        <v>0</v>
      </c>
      <c r="J173" s="52">
        <v>0</v>
      </c>
      <c r="K173" s="52">
        <v>0</v>
      </c>
      <c r="L173" s="52">
        <v>0</v>
      </c>
      <c r="M173" s="52">
        <v>0</v>
      </c>
      <c r="N173" s="52">
        <v>0</v>
      </c>
      <c r="O173" s="51" t="str">
        <f t="shared" si="19"/>
        <v/>
      </c>
      <c r="P173" s="53" t="str">
        <f t="shared" si="20"/>
        <v/>
      </c>
      <c r="Q173" s="54"/>
    </row>
    <row r="174" spans="1:17" ht="15" customHeight="1" x14ac:dyDescent="0.25">
      <c r="A174" s="184"/>
      <c r="B174" s="184"/>
      <c r="C174" s="184"/>
      <c r="D174" s="184"/>
      <c r="E174" s="52">
        <v>0</v>
      </c>
      <c r="F174" s="52">
        <v>0</v>
      </c>
      <c r="G174" s="52">
        <v>0</v>
      </c>
      <c r="H174" s="52">
        <v>0</v>
      </c>
      <c r="I174" s="52">
        <v>0</v>
      </c>
      <c r="J174" s="52">
        <v>0</v>
      </c>
      <c r="K174" s="52">
        <v>0</v>
      </c>
      <c r="L174" s="52">
        <v>0</v>
      </c>
      <c r="M174" s="52">
        <v>0</v>
      </c>
      <c r="N174" s="52">
        <v>0</v>
      </c>
      <c r="O174" s="51" t="str">
        <f t="shared" si="19"/>
        <v/>
      </c>
      <c r="P174" s="53" t="str">
        <f t="shared" si="20"/>
        <v/>
      </c>
      <c r="Q174" s="54"/>
    </row>
    <row r="175" spans="1:17" ht="15" customHeight="1" x14ac:dyDescent="0.25">
      <c r="A175" s="184"/>
      <c r="B175" s="184"/>
      <c r="C175" s="184"/>
      <c r="D175" s="184"/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1" t="str">
        <f t="shared" si="19"/>
        <v/>
      </c>
      <c r="P175" s="53" t="str">
        <f t="shared" si="20"/>
        <v/>
      </c>
      <c r="Q175" s="54"/>
    </row>
    <row r="176" spans="1:17" ht="15" customHeight="1" x14ac:dyDescent="0.25">
      <c r="A176" s="184"/>
      <c r="B176" s="184"/>
      <c r="C176" s="184"/>
      <c r="D176" s="184"/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1" t="str">
        <f t="shared" si="19"/>
        <v/>
      </c>
      <c r="P176" s="53" t="str">
        <f t="shared" si="20"/>
        <v/>
      </c>
      <c r="Q176" s="54"/>
    </row>
    <row r="177" spans="1:17" ht="15" customHeight="1" x14ac:dyDescent="0.25">
      <c r="A177" s="184"/>
      <c r="B177" s="184"/>
      <c r="C177" s="184"/>
      <c r="D177" s="184"/>
      <c r="E177" s="52">
        <v>0</v>
      </c>
      <c r="F177" s="52">
        <v>0</v>
      </c>
      <c r="G177" s="52">
        <v>0</v>
      </c>
      <c r="H177" s="52">
        <v>0</v>
      </c>
      <c r="I177" s="52">
        <v>0</v>
      </c>
      <c r="J177" s="52">
        <v>0</v>
      </c>
      <c r="K177" s="52">
        <v>0</v>
      </c>
      <c r="L177" s="52">
        <v>0</v>
      </c>
      <c r="M177" s="52">
        <v>0</v>
      </c>
      <c r="N177" s="52">
        <v>0</v>
      </c>
      <c r="O177" s="51" t="str">
        <f t="shared" si="19"/>
        <v/>
      </c>
      <c r="P177" s="53" t="str">
        <f t="shared" si="20"/>
        <v/>
      </c>
      <c r="Q177" s="54"/>
    </row>
    <row r="178" spans="1:17" ht="15" customHeight="1" x14ac:dyDescent="0.25">
      <c r="A178" s="56" t="s">
        <v>98</v>
      </c>
      <c r="B178" s="56" t="str">
        <f>COUNTIF(B85:B159,"?*")&amp;" alunos"</f>
        <v>7 alunos</v>
      </c>
      <c r="C178" s="36"/>
      <c r="D178" s="36"/>
      <c r="E178" s="57">
        <f t="shared" ref="E178:O178" si="21">SUM(E85:E159)</f>
        <v>0</v>
      </c>
      <c r="F178" s="57">
        <f t="shared" si="21"/>
        <v>0</v>
      </c>
      <c r="G178" s="57">
        <f t="shared" si="21"/>
        <v>0</v>
      </c>
      <c r="H178" s="57">
        <f t="shared" si="21"/>
        <v>0</v>
      </c>
      <c r="I178" s="57">
        <f t="shared" si="21"/>
        <v>0</v>
      </c>
      <c r="J178" s="57">
        <f t="shared" si="21"/>
        <v>0</v>
      </c>
      <c r="K178" s="57">
        <f t="shared" si="21"/>
        <v>0</v>
      </c>
      <c r="L178" s="57">
        <f t="shared" si="21"/>
        <v>0</v>
      </c>
      <c r="M178" s="57">
        <f t="shared" si="21"/>
        <v>0</v>
      </c>
      <c r="N178" s="57">
        <f t="shared" si="21"/>
        <v>0</v>
      </c>
      <c r="O178" s="57">
        <f t="shared" si="21"/>
        <v>0</v>
      </c>
      <c r="P178" s="36"/>
      <c r="Q178" s="36"/>
    </row>
    <row r="179" spans="1:17" ht="15" customHeight="1" x14ac:dyDescent="0.25"/>
    <row r="180" spans="1:17" ht="19.5" customHeight="1" x14ac:dyDescent="0.25">
      <c r="A180" s="257" t="s">
        <v>142</v>
      </c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</row>
    <row r="181" spans="1:17" ht="15" customHeight="1" x14ac:dyDescent="0.25">
      <c r="A181" s="38" t="s">
        <v>64</v>
      </c>
      <c r="B181" s="38" t="s">
        <v>65</v>
      </c>
      <c r="C181" s="38" t="s">
        <v>66</v>
      </c>
      <c r="D181" s="38" t="s">
        <v>126</v>
      </c>
      <c r="E181" s="38" t="s">
        <v>127</v>
      </c>
      <c r="F181" s="38" t="s">
        <v>128</v>
      </c>
      <c r="G181" s="38" t="s">
        <v>129</v>
      </c>
      <c r="H181" s="38" t="s">
        <v>130</v>
      </c>
      <c r="I181" s="38" t="s">
        <v>131</v>
      </c>
      <c r="J181" s="38" t="s">
        <v>132</v>
      </c>
      <c r="K181" s="38" t="s">
        <v>133</v>
      </c>
      <c r="L181" s="38" t="s">
        <v>134</v>
      </c>
      <c r="M181" s="38" t="s">
        <v>135</v>
      </c>
      <c r="N181" s="38" t="s">
        <v>136</v>
      </c>
      <c r="O181" s="38" t="s">
        <v>137</v>
      </c>
      <c r="P181" s="38" t="s">
        <v>138</v>
      </c>
      <c r="Q181" s="38" t="s">
        <v>139</v>
      </c>
    </row>
    <row r="182" spans="1:17" ht="15" customHeight="1" x14ac:dyDescent="0.25">
      <c r="A182" s="39" t="str">
        <f>IF('Controlo de Propinas'!A192="","",'Controlo de Propinas'!A192)</f>
        <v>6E-01</v>
      </c>
      <c r="B182" s="39" t="str">
        <f>IF('Controlo de Propinas'!B192="","",'Controlo de Propinas'!B192)</f>
        <v>Imayami Suriel António Cristovão De Sousa</v>
      </c>
      <c r="C182" s="39" t="str">
        <f>IF('Controlo de Propinas'!C192="","",'Controlo de Propinas'!C192)</f>
        <v>6eme</v>
      </c>
      <c r="D182" s="39">
        <f t="shared" ref="D182:D195" si="22">IF(C182="","",IF(OR(C182="Maternelle",C182="Maternelle P1",C182="Maternelle P2",C182="Maternelle P3"),170000,IF(C182="CM2",250000,IF(C182="4eme",260000,170000))))</f>
        <v>170000</v>
      </c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39">
        <f t="shared" ref="O182:O195" si="23">IF(B182="","",SUM(E182:N182))</f>
        <v>0</v>
      </c>
      <c r="P182" s="39" t="str">
        <f t="shared" ref="P182:P195" si="24">IF(B182="","",IF(O182=0,"Pendente",IF(COUNTIF(E182:N182,"&gt;0")&gt;=10,"Pago","Parcial")))</f>
        <v>Pendente</v>
      </c>
      <c r="Q182" s="39"/>
    </row>
    <row r="183" spans="1:17" ht="15" customHeight="1" x14ac:dyDescent="0.25">
      <c r="A183" s="39" t="str">
        <f>IF('Controlo de Propinas'!A193="","",'Controlo de Propinas'!A193)</f>
        <v/>
      </c>
      <c r="B183" s="39" t="str">
        <f>IF('Controlo de Propinas'!B193="","",'Controlo de Propinas'!B193)</f>
        <v/>
      </c>
      <c r="C183" s="39" t="str">
        <f>IF('Controlo de Propinas'!C193="","",'Controlo de Propinas'!C193)</f>
        <v>6eme</v>
      </c>
      <c r="D183" s="39">
        <f t="shared" si="22"/>
        <v>170000</v>
      </c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39" t="str">
        <f t="shared" si="23"/>
        <v/>
      </c>
      <c r="P183" s="39" t="str">
        <f t="shared" si="24"/>
        <v/>
      </c>
      <c r="Q183" s="39"/>
    </row>
    <row r="184" spans="1:17" ht="15" customHeight="1" x14ac:dyDescent="0.25">
      <c r="A184" s="39" t="str">
        <f>IF('Controlo de Propinas'!A194="","",'Controlo de Propinas'!A194)</f>
        <v/>
      </c>
      <c r="B184" s="39" t="str">
        <f>IF('Controlo de Propinas'!B194="","",'Controlo de Propinas'!B194)</f>
        <v/>
      </c>
      <c r="C184" s="39" t="str">
        <f>IF('Controlo de Propinas'!C194="","",'Controlo de Propinas'!C194)</f>
        <v>6eme</v>
      </c>
      <c r="D184" s="39">
        <f t="shared" si="22"/>
        <v>170000</v>
      </c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39" t="str">
        <f t="shared" si="23"/>
        <v/>
      </c>
      <c r="P184" s="39" t="str">
        <f t="shared" si="24"/>
        <v/>
      </c>
      <c r="Q184" s="39"/>
    </row>
    <row r="185" spans="1:17" ht="15" customHeight="1" x14ac:dyDescent="0.25">
      <c r="A185" s="39" t="str">
        <f>IF('Controlo de Propinas'!A195="","",'Controlo de Propinas'!A195)</f>
        <v/>
      </c>
      <c r="B185" s="39" t="str">
        <f>IF('Controlo de Propinas'!B195="","",'Controlo de Propinas'!B195)</f>
        <v/>
      </c>
      <c r="C185" s="39" t="str">
        <f>IF('Controlo de Propinas'!C195="","",'Controlo de Propinas'!C195)</f>
        <v>6eme</v>
      </c>
      <c r="D185" s="39">
        <f t="shared" si="22"/>
        <v>170000</v>
      </c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39" t="str">
        <f t="shared" si="23"/>
        <v/>
      </c>
      <c r="P185" s="39" t="str">
        <f t="shared" si="24"/>
        <v/>
      </c>
      <c r="Q185" s="39"/>
    </row>
    <row r="186" spans="1:17" ht="15" customHeight="1" x14ac:dyDescent="0.25">
      <c r="A186" s="39" t="str">
        <f>IF('Controlo de Propinas'!A196="","",'Controlo de Propinas'!A196)</f>
        <v/>
      </c>
      <c r="B186" s="39" t="str">
        <f>IF('Controlo de Propinas'!B196="","",'Controlo de Propinas'!B196)</f>
        <v/>
      </c>
      <c r="C186" s="39" t="str">
        <f>IF('Controlo de Propinas'!C196="","",'Controlo de Propinas'!C196)</f>
        <v>6eme</v>
      </c>
      <c r="D186" s="39">
        <f t="shared" si="22"/>
        <v>170000</v>
      </c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39" t="str">
        <f t="shared" si="23"/>
        <v/>
      </c>
      <c r="P186" s="39" t="str">
        <f t="shared" si="24"/>
        <v/>
      </c>
      <c r="Q186" s="39"/>
    </row>
    <row r="187" spans="1:17" ht="15" customHeight="1" x14ac:dyDescent="0.25">
      <c r="A187" s="39" t="str">
        <f>IF('Controlo de Propinas'!A197="","",'Controlo de Propinas'!A197)</f>
        <v/>
      </c>
      <c r="B187" s="39" t="str">
        <f>IF('Controlo de Propinas'!B197="","",'Controlo de Propinas'!B197)</f>
        <v/>
      </c>
      <c r="C187" s="39" t="str">
        <f>IF('Controlo de Propinas'!C197="","",'Controlo de Propinas'!C197)</f>
        <v>6eme</v>
      </c>
      <c r="D187" s="39">
        <f t="shared" si="22"/>
        <v>170000</v>
      </c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39" t="str">
        <f t="shared" si="23"/>
        <v/>
      </c>
      <c r="P187" s="39" t="str">
        <f t="shared" si="24"/>
        <v/>
      </c>
      <c r="Q187" s="39"/>
    </row>
    <row r="188" spans="1:17" ht="15" customHeight="1" x14ac:dyDescent="0.25">
      <c r="A188" s="39" t="str">
        <f>IF('Controlo de Propinas'!A198="","",'Controlo de Propinas'!A198)</f>
        <v/>
      </c>
      <c r="B188" s="39" t="str">
        <f>IF('Controlo de Propinas'!B198="","",'Controlo de Propinas'!B198)</f>
        <v/>
      </c>
      <c r="C188" s="39" t="str">
        <f>IF('Controlo de Propinas'!C198="","",'Controlo de Propinas'!C198)</f>
        <v>6eme</v>
      </c>
      <c r="D188" s="39">
        <f t="shared" si="22"/>
        <v>170000</v>
      </c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39" t="str">
        <f t="shared" si="23"/>
        <v/>
      </c>
      <c r="P188" s="39" t="str">
        <f t="shared" si="24"/>
        <v/>
      </c>
      <c r="Q188" s="39"/>
    </row>
    <row r="189" spans="1:17" ht="15" customHeight="1" x14ac:dyDescent="0.25">
      <c r="A189" s="39" t="str">
        <f>IF('Controlo de Propinas'!A199="","",'Controlo de Propinas'!A199)</f>
        <v/>
      </c>
      <c r="B189" s="39" t="str">
        <f>IF('Controlo de Propinas'!B199="","",'Controlo de Propinas'!B199)</f>
        <v/>
      </c>
      <c r="C189" s="39" t="str">
        <f>IF('Controlo de Propinas'!C199="","",'Controlo de Propinas'!C199)</f>
        <v>6eme</v>
      </c>
      <c r="D189" s="39">
        <f t="shared" si="22"/>
        <v>170000</v>
      </c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39" t="str">
        <f t="shared" si="23"/>
        <v/>
      </c>
      <c r="P189" s="39" t="str">
        <f t="shared" si="24"/>
        <v/>
      </c>
      <c r="Q189" s="39"/>
    </row>
    <row r="190" spans="1:17" ht="15" customHeight="1" x14ac:dyDescent="0.25">
      <c r="A190" s="39" t="str">
        <f>IF('Controlo de Propinas'!A200="","",'Controlo de Propinas'!A200)</f>
        <v/>
      </c>
      <c r="B190" s="39" t="str">
        <f>IF('Controlo de Propinas'!B200="","",'Controlo de Propinas'!B200)</f>
        <v/>
      </c>
      <c r="C190" s="39" t="str">
        <f>IF('Controlo de Propinas'!C200="","",'Controlo de Propinas'!C200)</f>
        <v>6eme</v>
      </c>
      <c r="D190" s="39">
        <f t="shared" si="22"/>
        <v>170000</v>
      </c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39" t="str">
        <f t="shared" si="23"/>
        <v/>
      </c>
      <c r="P190" s="39" t="str">
        <f t="shared" si="24"/>
        <v/>
      </c>
      <c r="Q190" s="39"/>
    </row>
    <row r="191" spans="1:17" ht="15" customHeight="1" x14ac:dyDescent="0.25">
      <c r="A191" s="39" t="str">
        <f>IF('Controlo de Propinas'!A201="","",'Controlo de Propinas'!A201)</f>
        <v/>
      </c>
      <c r="B191" s="39" t="str">
        <f>IF('Controlo de Propinas'!B201="","",'Controlo de Propinas'!B201)</f>
        <v/>
      </c>
      <c r="C191" s="39" t="str">
        <f>IF('Controlo de Propinas'!C201="","",'Controlo de Propinas'!C201)</f>
        <v>6eme</v>
      </c>
      <c r="D191" s="39">
        <f t="shared" si="22"/>
        <v>170000</v>
      </c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39" t="str">
        <f t="shared" si="23"/>
        <v/>
      </c>
      <c r="P191" s="39" t="str">
        <f t="shared" si="24"/>
        <v/>
      </c>
      <c r="Q191" s="39"/>
    </row>
    <row r="192" spans="1:17" ht="15" customHeight="1" x14ac:dyDescent="0.25">
      <c r="A192" s="39" t="str">
        <f>IF('Controlo de Propinas'!A202="","",'Controlo de Propinas'!A202)</f>
        <v/>
      </c>
      <c r="B192" s="39" t="str">
        <f>IF('Controlo de Propinas'!B202="","",'Controlo de Propinas'!B202)</f>
        <v/>
      </c>
      <c r="C192" s="39" t="str">
        <f>IF('Controlo de Propinas'!C202="","",'Controlo de Propinas'!C202)</f>
        <v>6eme</v>
      </c>
      <c r="D192" s="39">
        <f t="shared" si="22"/>
        <v>170000</v>
      </c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39" t="str">
        <f t="shared" si="23"/>
        <v/>
      </c>
      <c r="P192" s="39" t="str">
        <f t="shared" si="24"/>
        <v/>
      </c>
      <c r="Q192" s="39"/>
    </row>
    <row r="193" spans="1:17" ht="15" customHeight="1" x14ac:dyDescent="0.25">
      <c r="A193" s="39" t="str">
        <f>IF('Controlo de Propinas'!A203="","",'Controlo de Propinas'!A203)</f>
        <v/>
      </c>
      <c r="B193" s="39" t="str">
        <f>IF('Controlo de Propinas'!B203="","",'Controlo de Propinas'!B203)</f>
        <v/>
      </c>
      <c r="C193" s="39" t="str">
        <f>IF('Controlo de Propinas'!C203="","",'Controlo de Propinas'!C203)</f>
        <v>6eme</v>
      </c>
      <c r="D193" s="39">
        <f t="shared" si="22"/>
        <v>170000</v>
      </c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39" t="str">
        <f t="shared" si="23"/>
        <v/>
      </c>
      <c r="P193" s="39" t="str">
        <f t="shared" si="24"/>
        <v/>
      </c>
      <c r="Q193" s="39"/>
    </row>
    <row r="194" spans="1:17" ht="15" customHeight="1" x14ac:dyDescent="0.25">
      <c r="A194" s="39" t="str">
        <f>IF('Controlo de Propinas'!A204="","",'Controlo de Propinas'!A204)</f>
        <v/>
      </c>
      <c r="B194" s="39" t="str">
        <f>IF('Controlo de Propinas'!B204="","",'Controlo de Propinas'!B204)</f>
        <v/>
      </c>
      <c r="C194" s="39" t="str">
        <f>IF('Controlo de Propinas'!C204="","",'Controlo de Propinas'!C204)</f>
        <v>6eme</v>
      </c>
      <c r="D194" s="39">
        <f t="shared" si="22"/>
        <v>170000</v>
      </c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39" t="str">
        <f t="shared" si="23"/>
        <v/>
      </c>
      <c r="P194" s="39" t="str">
        <f t="shared" si="24"/>
        <v/>
      </c>
      <c r="Q194" s="39"/>
    </row>
    <row r="195" spans="1:17" ht="15" customHeight="1" x14ac:dyDescent="0.25">
      <c r="A195" s="39" t="str">
        <f>IF('Controlo de Propinas'!A205="","",'Controlo de Propinas'!A205)</f>
        <v/>
      </c>
      <c r="B195" s="39" t="str">
        <f>IF('Controlo de Propinas'!B205="","",'Controlo de Propinas'!B205)</f>
        <v/>
      </c>
      <c r="C195" s="39" t="str">
        <f>IF('Controlo de Propinas'!C205="","",'Controlo de Propinas'!C205)</f>
        <v>6eme</v>
      </c>
      <c r="D195" s="39">
        <f t="shared" si="22"/>
        <v>170000</v>
      </c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39" t="str">
        <f t="shared" si="23"/>
        <v/>
      </c>
      <c r="P195" s="39" t="str">
        <f t="shared" si="24"/>
        <v/>
      </c>
      <c r="Q195" s="39"/>
    </row>
    <row r="196" spans="1:17" ht="15" customHeight="1" x14ac:dyDescent="0.25">
      <c r="A196" s="43" t="s">
        <v>98</v>
      </c>
      <c r="B196" s="43" t="str">
        <f>COUNTIF(B182:B195,"?*")&amp;" alunos"</f>
        <v>1 alunos</v>
      </c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44">
        <f>SUM(O182:O195)</f>
        <v>0</v>
      </c>
      <c r="P196" s="36"/>
      <c r="Q196" s="36"/>
    </row>
    <row r="197" spans="1:17" ht="15" customHeight="1" x14ac:dyDescent="0.25"/>
    <row r="198" spans="1:17" ht="15" customHeight="1" x14ac:dyDescent="0.25">
      <c r="A198" s="47" t="s">
        <v>143</v>
      </c>
    </row>
    <row r="199" spans="1:17" ht="15" customHeight="1" x14ac:dyDescent="0.25">
      <c r="A199" s="31" t="s">
        <v>64</v>
      </c>
      <c r="B199" s="31" t="s">
        <v>65</v>
      </c>
      <c r="C199" s="31" t="s">
        <v>66</v>
      </c>
      <c r="D199" s="31" t="s">
        <v>126</v>
      </c>
      <c r="E199" s="31" t="s">
        <v>127</v>
      </c>
      <c r="F199" s="31" t="s">
        <v>128</v>
      </c>
      <c r="G199" s="31" t="s">
        <v>129</v>
      </c>
      <c r="H199" s="31" t="s">
        <v>130</v>
      </c>
      <c r="I199" s="31" t="s">
        <v>131</v>
      </c>
      <c r="J199" s="31" t="s">
        <v>132</v>
      </c>
      <c r="K199" s="31" t="s">
        <v>133</v>
      </c>
      <c r="L199" s="31" t="s">
        <v>134</v>
      </c>
      <c r="M199" s="31" t="s">
        <v>135</v>
      </c>
      <c r="N199" s="31" t="s">
        <v>136</v>
      </c>
      <c r="O199" s="31" t="s">
        <v>137</v>
      </c>
      <c r="P199" s="31" t="s">
        <v>138</v>
      </c>
      <c r="Q199" s="31" t="s">
        <v>139</v>
      </c>
    </row>
    <row r="200" spans="1:17" ht="15" customHeight="1" x14ac:dyDescent="0.25">
      <c r="A200" s="184" t="str">
        <f>IF('Controlo de Propinas'!A210="","",'Controlo de Propinas'!A210)</f>
        <v>4E-01</v>
      </c>
      <c r="B200" s="184" t="str">
        <f>IF('Controlo de Propinas'!B210="","",'Controlo de Propinas'!B210)</f>
        <v>Nathaniel Dialude Calei da Costa</v>
      </c>
      <c r="C200" s="184" t="str">
        <f>IF('Controlo de Propinas'!C210="","",'Controlo de Propinas'!C210)</f>
        <v>4eme</v>
      </c>
      <c r="D200" s="51" t="str">
        <f t="shared" ref="D200:D239" si="25">IF(C164="","",IF(OR(C164="Maternelle",C164="Maternelle P1",C164="Maternelle P2",C164="Maternelle P3"),170000,IF(C164="CM2",250000,IF(C164="4eme",260000,170000))))</f>
        <v/>
      </c>
      <c r="E200" s="52">
        <v>0</v>
      </c>
      <c r="F200" s="52">
        <v>0</v>
      </c>
      <c r="G200" s="52">
        <v>0</v>
      </c>
      <c r="H200" s="52">
        <v>0</v>
      </c>
      <c r="I200" s="52">
        <v>0</v>
      </c>
      <c r="J200" s="52">
        <v>0</v>
      </c>
      <c r="K200" s="52">
        <v>0</v>
      </c>
      <c r="L200" s="52">
        <v>0</v>
      </c>
      <c r="M200" s="52">
        <v>0</v>
      </c>
      <c r="N200" s="52">
        <v>0</v>
      </c>
      <c r="O200" s="51" t="str">
        <f t="shared" ref="O200:O240" si="26">IF(B164="","",SUM(E164:N164))</f>
        <v/>
      </c>
      <c r="P200" s="53" t="str">
        <f t="shared" ref="P200:P240" si="27">IF(B164="","",IF(O164=0,"Pendente",IF(O164&lt;D164,"Parcial","Pago")))</f>
        <v/>
      </c>
      <c r="Q200" s="54"/>
    </row>
    <row r="201" spans="1:17" ht="15" customHeight="1" x14ac:dyDescent="0.25">
      <c r="A201" s="184" t="str">
        <f>IF('Controlo de Propinas'!A211="","",'Controlo de Propinas'!A211)</f>
        <v/>
      </c>
      <c r="B201" s="184" t="str">
        <f>IF('Controlo de Propinas'!B211="","",'Controlo de Propinas'!B211)</f>
        <v/>
      </c>
      <c r="C201" s="184" t="str">
        <f>IF('Controlo de Propinas'!C211="","",'Controlo de Propinas'!C211)</f>
        <v>4eme</v>
      </c>
      <c r="D201" s="51" t="str">
        <f t="shared" si="25"/>
        <v/>
      </c>
      <c r="E201" s="52">
        <v>0</v>
      </c>
      <c r="F201" s="52">
        <v>0</v>
      </c>
      <c r="G201" s="52">
        <v>0</v>
      </c>
      <c r="H201" s="52">
        <v>0</v>
      </c>
      <c r="I201" s="52">
        <v>0</v>
      </c>
      <c r="J201" s="52">
        <v>0</v>
      </c>
      <c r="K201" s="52">
        <v>0</v>
      </c>
      <c r="L201" s="52">
        <v>0</v>
      </c>
      <c r="M201" s="52">
        <v>0</v>
      </c>
      <c r="N201" s="52">
        <v>0</v>
      </c>
      <c r="O201" s="51" t="str">
        <f t="shared" si="26"/>
        <v/>
      </c>
      <c r="P201" s="53" t="str">
        <f t="shared" si="27"/>
        <v/>
      </c>
      <c r="Q201" s="54"/>
    </row>
    <row r="202" spans="1:17" ht="15" customHeight="1" x14ac:dyDescent="0.25">
      <c r="A202" s="184" t="str">
        <f>IF('Controlo de Propinas'!A212="","",'Controlo de Propinas'!A212)</f>
        <v/>
      </c>
      <c r="B202" s="184" t="str">
        <f>IF('Controlo de Propinas'!B212="","",'Controlo de Propinas'!B212)</f>
        <v/>
      </c>
      <c r="C202" s="184" t="str">
        <f>IF('Controlo de Propinas'!C212="","",'Controlo de Propinas'!C212)</f>
        <v>4eme</v>
      </c>
      <c r="D202" s="51" t="str">
        <f t="shared" si="25"/>
        <v/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2">
        <v>0</v>
      </c>
      <c r="L202" s="52">
        <v>0</v>
      </c>
      <c r="M202" s="52">
        <v>0</v>
      </c>
      <c r="N202" s="52">
        <v>0</v>
      </c>
      <c r="O202" s="51" t="str">
        <f t="shared" si="26"/>
        <v/>
      </c>
      <c r="P202" s="53" t="str">
        <f t="shared" si="27"/>
        <v/>
      </c>
      <c r="Q202" s="54"/>
    </row>
    <row r="203" spans="1:17" ht="15" customHeight="1" x14ac:dyDescent="0.25">
      <c r="A203" s="184" t="str">
        <f>IF('Controlo de Propinas'!A213="","",'Controlo de Propinas'!A213)</f>
        <v/>
      </c>
      <c r="B203" s="184" t="str">
        <f>IF('Controlo de Propinas'!B213="","",'Controlo de Propinas'!B213)</f>
        <v/>
      </c>
      <c r="C203" s="184" t="str">
        <f>IF('Controlo de Propinas'!C213="","",'Controlo de Propinas'!C213)</f>
        <v>4eme</v>
      </c>
      <c r="D203" s="51" t="str">
        <f t="shared" si="25"/>
        <v/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1" t="str">
        <f t="shared" si="26"/>
        <v/>
      </c>
      <c r="P203" s="53" t="str">
        <f t="shared" si="27"/>
        <v/>
      </c>
      <c r="Q203" s="54"/>
    </row>
    <row r="204" spans="1:17" ht="15" customHeight="1" x14ac:dyDescent="0.25">
      <c r="A204" s="184" t="str">
        <f>IF('Controlo de Propinas'!A214="","",'Controlo de Propinas'!A214)</f>
        <v/>
      </c>
      <c r="B204" s="184" t="str">
        <f>IF('Controlo de Propinas'!B214="","",'Controlo de Propinas'!B214)</f>
        <v/>
      </c>
      <c r="C204" s="184" t="str">
        <f>IF('Controlo de Propinas'!C214="","",'Controlo de Propinas'!C214)</f>
        <v>4eme</v>
      </c>
      <c r="D204" s="51" t="str">
        <f t="shared" si="25"/>
        <v/>
      </c>
      <c r="E204" s="52">
        <v>0</v>
      </c>
      <c r="F204" s="52">
        <v>0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51" t="str">
        <f t="shared" si="26"/>
        <v/>
      </c>
      <c r="P204" s="53" t="str">
        <f t="shared" si="27"/>
        <v/>
      </c>
      <c r="Q204" s="54"/>
    </row>
    <row r="205" spans="1:17" ht="15" customHeight="1" x14ac:dyDescent="0.25">
      <c r="A205" s="184" t="str">
        <f>IF('Controlo de Propinas'!A215="","",'Controlo de Propinas'!A215)</f>
        <v/>
      </c>
      <c r="B205" s="184" t="str">
        <f>IF('Controlo de Propinas'!B215="","",'Controlo de Propinas'!B215)</f>
        <v/>
      </c>
      <c r="C205" s="184" t="str">
        <f>IF('Controlo de Propinas'!C215="","",'Controlo de Propinas'!C215)</f>
        <v>4eme</v>
      </c>
      <c r="D205" s="51" t="str">
        <f t="shared" si="25"/>
        <v/>
      </c>
      <c r="E205" s="52">
        <v>0</v>
      </c>
      <c r="F205" s="52">
        <v>0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2">
        <v>0</v>
      </c>
      <c r="M205" s="52">
        <v>0</v>
      </c>
      <c r="N205" s="52">
        <v>0</v>
      </c>
      <c r="O205" s="51" t="str">
        <f t="shared" si="26"/>
        <v/>
      </c>
      <c r="P205" s="53" t="str">
        <f t="shared" si="27"/>
        <v/>
      </c>
      <c r="Q205" s="54"/>
    </row>
    <row r="206" spans="1:17" ht="15" customHeight="1" x14ac:dyDescent="0.25">
      <c r="A206" s="184" t="e">
        <f>IF('Controlo de Propinas'!#REF!="","",'Controlo de Propinas'!#REF!)</f>
        <v>#REF!</v>
      </c>
      <c r="B206" s="184" t="e">
        <f>IF('Controlo de Propinas'!#REF!="","",'Controlo de Propinas'!#REF!)</f>
        <v>#REF!</v>
      </c>
      <c r="C206" s="184" t="e">
        <f>IF('Controlo de Propinas'!#REF!="","",'Controlo de Propinas'!#REF!)</f>
        <v>#REF!</v>
      </c>
      <c r="D206" s="51" t="str">
        <f t="shared" si="25"/>
        <v/>
      </c>
      <c r="E206" s="52">
        <v>0</v>
      </c>
      <c r="F206" s="52">
        <v>0</v>
      </c>
      <c r="G206" s="52">
        <v>0</v>
      </c>
      <c r="H206" s="52">
        <v>0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51" t="str">
        <f t="shared" si="26"/>
        <v/>
      </c>
      <c r="P206" s="53" t="str">
        <f t="shared" si="27"/>
        <v/>
      </c>
      <c r="Q206" s="54"/>
    </row>
    <row r="207" spans="1:17" ht="15" customHeight="1" x14ac:dyDescent="0.25">
      <c r="A207" s="184" t="str">
        <f>IF('Controlo de Propinas'!A216="","",'Controlo de Propinas'!A216)</f>
        <v/>
      </c>
      <c r="B207" s="184" t="str">
        <f>IF('Controlo de Propinas'!B216="","",'Controlo de Propinas'!B216)</f>
        <v/>
      </c>
      <c r="C207" s="184" t="str">
        <f>IF('Controlo de Propinas'!C216="","",'Controlo de Propinas'!C216)</f>
        <v>4eme</v>
      </c>
      <c r="D207" s="51" t="str">
        <f t="shared" si="25"/>
        <v/>
      </c>
      <c r="E207" s="52">
        <v>0</v>
      </c>
      <c r="F207" s="52">
        <v>0</v>
      </c>
      <c r="G207" s="52">
        <v>0</v>
      </c>
      <c r="H207" s="52">
        <v>0</v>
      </c>
      <c r="I207" s="52">
        <v>0</v>
      </c>
      <c r="J207" s="52">
        <v>0</v>
      </c>
      <c r="K207" s="52">
        <v>0</v>
      </c>
      <c r="L207" s="52">
        <v>0</v>
      </c>
      <c r="M207" s="52">
        <v>0</v>
      </c>
      <c r="N207" s="52">
        <v>0</v>
      </c>
      <c r="O207" s="51" t="str">
        <f t="shared" si="26"/>
        <v/>
      </c>
      <c r="P207" s="53" t="str">
        <f t="shared" si="27"/>
        <v/>
      </c>
      <c r="Q207" s="54"/>
    </row>
    <row r="208" spans="1:17" ht="15" customHeight="1" x14ac:dyDescent="0.25">
      <c r="A208" s="184" t="str">
        <f>IF('Controlo de Propinas'!A217="","",'Controlo de Propinas'!A217)</f>
        <v/>
      </c>
      <c r="B208" s="184" t="str">
        <f>IF('Controlo de Propinas'!B217="","",'Controlo de Propinas'!B217)</f>
        <v/>
      </c>
      <c r="C208" s="184" t="str">
        <f>IF('Controlo de Propinas'!C217="","",'Controlo de Propinas'!C217)</f>
        <v>4eme</v>
      </c>
      <c r="D208" s="51" t="str">
        <f t="shared" si="25"/>
        <v/>
      </c>
      <c r="E208" s="52">
        <v>0</v>
      </c>
      <c r="F208" s="52">
        <v>0</v>
      </c>
      <c r="G208" s="52">
        <v>0</v>
      </c>
      <c r="H208" s="52">
        <v>0</v>
      </c>
      <c r="I208" s="52">
        <v>0</v>
      </c>
      <c r="J208" s="52">
        <v>0</v>
      </c>
      <c r="K208" s="52">
        <v>0</v>
      </c>
      <c r="L208" s="52">
        <v>0</v>
      </c>
      <c r="M208" s="52">
        <v>0</v>
      </c>
      <c r="N208" s="52">
        <v>0</v>
      </c>
      <c r="O208" s="51" t="str">
        <f t="shared" si="26"/>
        <v/>
      </c>
      <c r="P208" s="53" t="str">
        <f t="shared" si="27"/>
        <v/>
      </c>
      <c r="Q208" s="54"/>
    </row>
    <row r="209" spans="1:17" ht="15" customHeight="1" x14ac:dyDescent="0.25">
      <c r="A209" s="184" t="str">
        <f>IF('Controlo de Propinas'!A218="","",'Controlo de Propinas'!A218)</f>
        <v/>
      </c>
      <c r="B209" s="184" t="str">
        <f>IF('Controlo de Propinas'!B218="","",'Controlo de Propinas'!B218)</f>
        <v/>
      </c>
      <c r="C209" s="184" t="str">
        <f>IF('Controlo de Propinas'!C218="","",'Controlo de Propinas'!C218)</f>
        <v>4eme</v>
      </c>
      <c r="D209" s="51" t="str">
        <f t="shared" si="25"/>
        <v/>
      </c>
      <c r="E209" s="52">
        <v>0</v>
      </c>
      <c r="F209" s="52">
        <v>0</v>
      </c>
      <c r="G209" s="52">
        <v>0</v>
      </c>
      <c r="H209" s="52">
        <v>0</v>
      </c>
      <c r="I209" s="52">
        <v>0</v>
      </c>
      <c r="J209" s="52">
        <v>0</v>
      </c>
      <c r="K209" s="52">
        <v>0</v>
      </c>
      <c r="L209" s="52">
        <v>0</v>
      </c>
      <c r="M209" s="52">
        <v>0</v>
      </c>
      <c r="N209" s="52">
        <v>0</v>
      </c>
      <c r="O209" s="51" t="str">
        <f t="shared" si="26"/>
        <v/>
      </c>
      <c r="P209" s="53" t="str">
        <f t="shared" si="27"/>
        <v/>
      </c>
      <c r="Q209" s="54"/>
    </row>
    <row r="210" spans="1:17" ht="15" customHeight="1" x14ac:dyDescent="0.25">
      <c r="A210" s="184" t="str">
        <f>IF('Controlo de Propinas'!A219="","",'Controlo de Propinas'!A219)</f>
        <v/>
      </c>
      <c r="B210" s="184" t="str">
        <f>IF('Controlo de Propinas'!B219="","",'Controlo de Propinas'!B219)</f>
        <v/>
      </c>
      <c r="C210" s="184" t="str">
        <f>IF('Controlo de Propinas'!C219="","",'Controlo de Propinas'!C219)</f>
        <v>4eme</v>
      </c>
      <c r="D210" s="51" t="str">
        <f t="shared" si="25"/>
        <v/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1" t="str">
        <f t="shared" si="26"/>
        <v/>
      </c>
      <c r="P210" s="53" t="str">
        <f t="shared" si="27"/>
        <v/>
      </c>
      <c r="Q210" s="54"/>
    </row>
    <row r="211" spans="1:17" ht="15" customHeight="1" x14ac:dyDescent="0.25">
      <c r="A211" s="184" t="str">
        <f>IF('Controlo de Propinas'!A220="","",'Controlo de Propinas'!A220)</f>
        <v/>
      </c>
      <c r="B211" s="184" t="str">
        <f>IF('Controlo de Propinas'!B220="","",'Controlo de Propinas'!B220)</f>
        <v/>
      </c>
      <c r="C211" s="184" t="str">
        <f>IF('Controlo de Propinas'!C220="","",'Controlo de Propinas'!C220)</f>
        <v>4eme</v>
      </c>
      <c r="D211" s="51" t="str">
        <f t="shared" si="25"/>
        <v/>
      </c>
      <c r="E211" s="52">
        <v>0</v>
      </c>
      <c r="F211" s="52">
        <v>0</v>
      </c>
      <c r="G211" s="52">
        <v>0</v>
      </c>
      <c r="H211" s="52">
        <v>0</v>
      </c>
      <c r="I211" s="52">
        <v>0</v>
      </c>
      <c r="J211" s="52">
        <v>0</v>
      </c>
      <c r="K211" s="52">
        <v>0</v>
      </c>
      <c r="L211" s="52">
        <v>0</v>
      </c>
      <c r="M211" s="52">
        <v>0</v>
      </c>
      <c r="N211" s="52">
        <v>0</v>
      </c>
      <c r="O211" s="51" t="str">
        <f t="shared" si="26"/>
        <v/>
      </c>
      <c r="P211" s="53" t="str">
        <f t="shared" si="27"/>
        <v/>
      </c>
      <c r="Q211" s="54"/>
    </row>
    <row r="212" spans="1:17" ht="15" customHeight="1" x14ac:dyDescent="0.25">
      <c r="A212" s="184" t="str">
        <f>IF('Controlo de Propinas'!A221="","",'Controlo de Propinas'!A221)</f>
        <v/>
      </c>
      <c r="B212" s="184" t="str">
        <f>IF('Controlo de Propinas'!B221="","",'Controlo de Propinas'!B221)</f>
        <v/>
      </c>
      <c r="C212" s="184" t="str">
        <f>IF('Controlo de Propinas'!C221="","",'Controlo de Propinas'!C221)</f>
        <v>4eme</v>
      </c>
      <c r="D212" s="51" t="str">
        <f t="shared" si="25"/>
        <v/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1" t="str">
        <f t="shared" si="26"/>
        <v/>
      </c>
      <c r="P212" s="53" t="str">
        <f t="shared" si="27"/>
        <v/>
      </c>
      <c r="Q212" s="54"/>
    </row>
    <row r="213" spans="1:17" ht="15" customHeight="1" x14ac:dyDescent="0.25">
      <c r="A213" s="184" t="str">
        <f>IF('Controlo de Propinas'!A222="","",'Controlo de Propinas'!A222)</f>
        <v/>
      </c>
      <c r="B213" s="184" t="str">
        <f>IF('Controlo de Propinas'!B222="","",'Controlo de Propinas'!B222)</f>
        <v/>
      </c>
      <c r="C213" s="184" t="str">
        <f>IF('Controlo de Propinas'!C222="","",'Controlo de Propinas'!C222)</f>
        <v>4eme</v>
      </c>
      <c r="D213" s="51" t="str">
        <f t="shared" si="25"/>
        <v/>
      </c>
      <c r="E213" s="52">
        <v>0</v>
      </c>
      <c r="F213" s="52">
        <v>0</v>
      </c>
      <c r="G213" s="52">
        <v>0</v>
      </c>
      <c r="H213" s="52">
        <v>0</v>
      </c>
      <c r="I213" s="52">
        <v>0</v>
      </c>
      <c r="J213" s="52">
        <v>0</v>
      </c>
      <c r="K213" s="52">
        <v>0</v>
      </c>
      <c r="L213" s="52">
        <v>0</v>
      </c>
      <c r="M213" s="52">
        <v>0</v>
      </c>
      <c r="N213" s="52">
        <v>0</v>
      </c>
      <c r="O213" s="51" t="str">
        <f t="shared" si="26"/>
        <v/>
      </c>
      <c r="P213" s="53" t="str">
        <f t="shared" si="27"/>
        <v/>
      </c>
      <c r="Q213" s="54"/>
    </row>
    <row r="214" spans="1:17" ht="15" customHeight="1" x14ac:dyDescent="0.25">
      <c r="A214" s="184" t="str">
        <f>IF('Controlo de Propinas'!A223="","",'Controlo de Propinas'!A223)</f>
        <v/>
      </c>
      <c r="B214" s="184" t="str">
        <f>IF('Controlo de Propinas'!B223="","",'Controlo de Propinas'!B223)</f>
        <v/>
      </c>
      <c r="C214" s="184" t="str">
        <f>IF('Controlo de Propinas'!C223="","",'Controlo de Propinas'!C223)</f>
        <v>4eme</v>
      </c>
      <c r="D214" s="51" t="str">
        <f t="shared" si="25"/>
        <v/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1">
        <f t="shared" si="26"/>
        <v>0</v>
      </c>
      <c r="P214" s="53" t="str">
        <f t="shared" si="27"/>
        <v>Pendente</v>
      </c>
      <c r="Q214" s="54"/>
    </row>
    <row r="215" spans="1:17" ht="15" customHeight="1" x14ac:dyDescent="0.25">
      <c r="A215" s="184" t="str">
        <f>IF('Controlo de Propinas'!A224="","",'Controlo de Propinas'!A224)</f>
        <v/>
      </c>
      <c r="B215" s="184" t="str">
        <f>IF('Controlo de Propinas'!B224="","",'Controlo de Propinas'!B224)</f>
        <v/>
      </c>
      <c r="C215" s="184" t="str">
        <f>IF('Controlo de Propinas'!C224="","",'Controlo de Propinas'!C224)</f>
        <v>4eme</v>
      </c>
      <c r="D215" s="51" t="str">
        <f t="shared" si="25"/>
        <v/>
      </c>
      <c r="E215" s="52">
        <v>0</v>
      </c>
      <c r="F215" s="52">
        <v>0</v>
      </c>
      <c r="G215" s="52">
        <v>0</v>
      </c>
      <c r="H215" s="52">
        <v>0</v>
      </c>
      <c r="I215" s="52">
        <v>0</v>
      </c>
      <c r="J215" s="52">
        <v>0</v>
      </c>
      <c r="K215" s="52">
        <v>0</v>
      </c>
      <c r="L215" s="52">
        <v>0</v>
      </c>
      <c r="M215" s="52">
        <v>0</v>
      </c>
      <c r="N215" s="52">
        <v>0</v>
      </c>
      <c r="O215" s="51" t="str">
        <f t="shared" si="26"/>
        <v/>
      </c>
      <c r="P215" s="53" t="str">
        <f t="shared" si="27"/>
        <v/>
      </c>
      <c r="Q215" s="54"/>
    </row>
    <row r="216" spans="1:17" ht="15" customHeight="1" x14ac:dyDescent="0.25">
      <c r="A216" s="184" t="str">
        <f>IF('Controlo de Propinas'!A225="","",'Controlo de Propinas'!A225)</f>
        <v/>
      </c>
      <c r="B216" s="184" t="str">
        <f>IF('Controlo de Propinas'!B225="","",'Controlo de Propinas'!B225)</f>
        <v/>
      </c>
      <c r="C216" s="184" t="str">
        <f>IF('Controlo de Propinas'!C225="","",'Controlo de Propinas'!C225)</f>
        <v>4eme</v>
      </c>
      <c r="D216" s="51" t="str">
        <f t="shared" si="25"/>
        <v/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0</v>
      </c>
      <c r="K216" s="52">
        <v>0</v>
      </c>
      <c r="L216" s="52">
        <v>0</v>
      </c>
      <c r="M216" s="52">
        <v>0</v>
      </c>
      <c r="N216" s="52">
        <v>0</v>
      </c>
      <c r="O216" s="51" t="str">
        <f t="shared" si="26"/>
        <v/>
      </c>
      <c r="P216" s="53" t="str">
        <f t="shared" si="27"/>
        <v/>
      </c>
      <c r="Q216" s="54"/>
    </row>
    <row r="217" spans="1:17" ht="15" customHeight="1" x14ac:dyDescent="0.25">
      <c r="A217" s="184" t="str">
        <f>IF('Controlo de Propinas'!A226="","",'Controlo de Propinas'!A226)</f>
        <v/>
      </c>
      <c r="B217" s="184" t="str">
        <f>IF('Controlo de Propinas'!B226="","",'Controlo de Propinas'!B226)</f>
        <v/>
      </c>
      <c r="C217" s="184" t="str">
        <f>IF('Controlo de Propinas'!C226="","",'Controlo de Propinas'!C226)</f>
        <v>4eme</v>
      </c>
      <c r="D217" s="51">
        <f t="shared" si="25"/>
        <v>170000</v>
      </c>
      <c r="E217" s="52">
        <v>0</v>
      </c>
      <c r="F217" s="52">
        <v>0</v>
      </c>
      <c r="G217" s="52">
        <v>0</v>
      </c>
      <c r="H217" s="52">
        <v>0</v>
      </c>
      <c r="I217" s="52">
        <v>0</v>
      </c>
      <c r="J217" s="52">
        <v>0</v>
      </c>
      <c r="K217" s="52">
        <v>0</v>
      </c>
      <c r="L217" s="52">
        <v>0</v>
      </c>
      <c r="M217" s="52">
        <v>0</v>
      </c>
      <c r="N217" s="52">
        <v>0</v>
      </c>
      <c r="O217" s="51">
        <f t="shared" si="26"/>
        <v>0</v>
      </c>
      <c r="P217" s="53" t="str">
        <f t="shared" si="27"/>
        <v>Pago</v>
      </c>
      <c r="Q217" s="54"/>
    </row>
    <row r="218" spans="1:17" ht="15" customHeight="1" x14ac:dyDescent="0.25">
      <c r="A218" s="184" t="str">
        <f>IF('Controlo de Propinas'!A227="","",'Controlo de Propinas'!A227)</f>
        <v/>
      </c>
      <c r="B218" s="184" t="str">
        <f>IF('Controlo de Propinas'!B227="","",'Controlo de Propinas'!B227)</f>
        <v/>
      </c>
      <c r="C218" s="184" t="str">
        <f>IF('Controlo de Propinas'!C227="","",'Controlo de Propinas'!C227)</f>
        <v>4eme</v>
      </c>
      <c r="D218" s="51">
        <f t="shared" si="25"/>
        <v>170000</v>
      </c>
      <c r="E218" s="52">
        <v>0</v>
      </c>
      <c r="F218" s="52">
        <v>0</v>
      </c>
      <c r="G218" s="52">
        <v>0</v>
      </c>
      <c r="H218" s="52">
        <v>0</v>
      </c>
      <c r="I218" s="52">
        <v>0</v>
      </c>
      <c r="J218" s="52">
        <v>0</v>
      </c>
      <c r="K218" s="52">
        <v>0</v>
      </c>
      <c r="L218" s="52">
        <v>0</v>
      </c>
      <c r="M218" s="52">
        <v>0</v>
      </c>
      <c r="N218" s="52">
        <v>0</v>
      </c>
      <c r="O218" s="51">
        <f t="shared" si="26"/>
        <v>0</v>
      </c>
      <c r="P218" s="53" t="str">
        <f t="shared" si="27"/>
        <v>Pendente</v>
      </c>
      <c r="Q218" s="54"/>
    </row>
    <row r="219" spans="1:17" ht="15" customHeight="1" x14ac:dyDescent="0.25">
      <c r="A219" s="184" t="str">
        <f>IF('Controlo de Propinas'!A228="","",'Controlo de Propinas'!A228)</f>
        <v/>
      </c>
      <c r="B219" s="184" t="str">
        <f>IF('Controlo de Propinas'!B228="","",'Controlo de Propinas'!B228)</f>
        <v/>
      </c>
      <c r="C219" s="184" t="str">
        <f>IF('Controlo de Propinas'!C228="","",'Controlo de Propinas'!C228)</f>
        <v>4eme</v>
      </c>
      <c r="D219" s="51">
        <f t="shared" si="25"/>
        <v>170000</v>
      </c>
      <c r="E219" s="52">
        <v>0</v>
      </c>
      <c r="F219" s="52">
        <v>0</v>
      </c>
      <c r="G219" s="52">
        <v>0</v>
      </c>
      <c r="H219" s="52">
        <v>0</v>
      </c>
      <c r="I219" s="52">
        <v>0</v>
      </c>
      <c r="J219" s="52">
        <v>0</v>
      </c>
      <c r="K219" s="52">
        <v>0</v>
      </c>
      <c r="L219" s="52">
        <v>0</v>
      </c>
      <c r="M219" s="52">
        <v>0</v>
      </c>
      <c r="N219" s="52">
        <v>0</v>
      </c>
      <c r="O219" s="51" t="str">
        <f t="shared" si="26"/>
        <v/>
      </c>
      <c r="P219" s="53" t="str">
        <f t="shared" si="27"/>
        <v/>
      </c>
      <c r="Q219" s="54"/>
    </row>
    <row r="220" spans="1:17" ht="15" customHeight="1" x14ac:dyDescent="0.25">
      <c r="A220" s="184" t="str">
        <f>IF('Controlo de Propinas'!A229="","",'Controlo de Propinas'!A229)</f>
        <v/>
      </c>
      <c r="B220" s="184" t="str">
        <f>IF('Controlo de Propinas'!B229="","",'Controlo de Propinas'!B229)</f>
        <v/>
      </c>
      <c r="C220" s="184" t="str">
        <f>IF('Controlo de Propinas'!C229="","",'Controlo de Propinas'!C229)</f>
        <v>4eme</v>
      </c>
      <c r="D220" s="51">
        <f t="shared" si="25"/>
        <v>170000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1" t="str">
        <f t="shared" si="26"/>
        <v/>
      </c>
      <c r="P220" s="53" t="str">
        <f t="shared" si="27"/>
        <v/>
      </c>
      <c r="Q220" s="54"/>
    </row>
    <row r="221" spans="1:17" ht="15" customHeight="1" x14ac:dyDescent="0.25">
      <c r="A221" s="184" t="str">
        <f>IF('Controlo de Propinas'!A230="","",'Controlo de Propinas'!A230)</f>
        <v/>
      </c>
      <c r="B221" s="184" t="str">
        <f>IF('Controlo de Propinas'!B230="","",'Controlo de Propinas'!B230)</f>
        <v/>
      </c>
      <c r="C221" s="184" t="str">
        <f>IF('Controlo de Propinas'!C230="","",'Controlo de Propinas'!C230)</f>
        <v>4eme</v>
      </c>
      <c r="D221" s="51">
        <f t="shared" si="25"/>
        <v>170000</v>
      </c>
      <c r="E221" s="52">
        <v>0</v>
      </c>
      <c r="F221" s="52">
        <v>0</v>
      </c>
      <c r="G221" s="52">
        <v>0</v>
      </c>
      <c r="H221" s="52">
        <v>0</v>
      </c>
      <c r="I221" s="52">
        <v>0</v>
      </c>
      <c r="J221" s="52">
        <v>0</v>
      </c>
      <c r="K221" s="52">
        <v>0</v>
      </c>
      <c r="L221" s="52">
        <v>0</v>
      </c>
      <c r="M221" s="52">
        <v>0</v>
      </c>
      <c r="N221" s="52">
        <v>0</v>
      </c>
      <c r="O221" s="51" t="str">
        <f t="shared" si="26"/>
        <v/>
      </c>
      <c r="P221" s="53" t="str">
        <f t="shared" si="27"/>
        <v/>
      </c>
      <c r="Q221" s="54"/>
    </row>
    <row r="222" spans="1:17" ht="15" customHeight="1" x14ac:dyDescent="0.25">
      <c r="A222" s="184" t="str">
        <f>IF('Controlo de Propinas'!A231="","",'Controlo de Propinas'!A231)</f>
        <v/>
      </c>
      <c r="B222" s="184" t="str">
        <f>IF('Controlo de Propinas'!B231="","",'Controlo de Propinas'!B231)</f>
        <v/>
      </c>
      <c r="C222" s="184" t="str">
        <f>IF('Controlo de Propinas'!C231="","",'Controlo de Propinas'!C231)</f>
        <v>4eme</v>
      </c>
      <c r="D222" s="51">
        <f t="shared" si="25"/>
        <v>170000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51" t="str">
        <f t="shared" si="26"/>
        <v/>
      </c>
      <c r="P222" s="53" t="str">
        <f t="shared" si="27"/>
        <v/>
      </c>
      <c r="Q222" s="54"/>
    </row>
    <row r="223" spans="1:17" ht="15" customHeight="1" x14ac:dyDescent="0.25">
      <c r="A223" s="184" t="str">
        <f>IF('Controlo de Propinas'!A232="","",'Controlo de Propinas'!A232)</f>
        <v/>
      </c>
      <c r="B223" s="184" t="str">
        <f>IF('Controlo de Propinas'!B232="","",'Controlo de Propinas'!B232)</f>
        <v/>
      </c>
      <c r="C223" s="184" t="str">
        <f>IF('Controlo de Propinas'!C232="","",'Controlo de Propinas'!C232)</f>
        <v>4eme</v>
      </c>
      <c r="D223" s="51">
        <f t="shared" si="25"/>
        <v>170000</v>
      </c>
      <c r="E223" s="52">
        <v>0</v>
      </c>
      <c r="F223" s="52">
        <v>0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2">
        <v>0</v>
      </c>
      <c r="M223" s="52">
        <v>0</v>
      </c>
      <c r="N223" s="52">
        <v>0</v>
      </c>
      <c r="O223" s="51" t="str">
        <f t="shared" si="26"/>
        <v/>
      </c>
      <c r="P223" s="53" t="str">
        <f t="shared" si="27"/>
        <v/>
      </c>
      <c r="Q223" s="54"/>
    </row>
    <row r="224" spans="1:17" ht="15" customHeight="1" x14ac:dyDescent="0.25">
      <c r="A224" s="184" t="str">
        <f>IF('Controlo de Propinas'!A233="","",'Controlo de Propinas'!A233)</f>
        <v/>
      </c>
      <c r="B224" s="184" t="str">
        <f>IF('Controlo de Propinas'!B233="","",'Controlo de Propinas'!B233)</f>
        <v/>
      </c>
      <c r="C224" s="184" t="str">
        <f>IF('Controlo de Propinas'!C233="","",'Controlo de Propinas'!C233)</f>
        <v>4eme</v>
      </c>
      <c r="D224" s="51">
        <f t="shared" si="25"/>
        <v>170000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1" t="str">
        <f t="shared" si="26"/>
        <v/>
      </c>
      <c r="P224" s="53" t="str">
        <f t="shared" si="27"/>
        <v/>
      </c>
      <c r="Q224" s="54"/>
    </row>
    <row r="225" spans="1:17" ht="15" customHeight="1" x14ac:dyDescent="0.25">
      <c r="A225" s="184" t="str">
        <f>IF('Controlo de Propinas'!A234="","",'Controlo de Propinas'!A234)</f>
        <v/>
      </c>
      <c r="B225" s="184" t="str">
        <f>IF('Controlo de Propinas'!B234="","",'Controlo de Propinas'!B234)</f>
        <v/>
      </c>
      <c r="C225" s="184" t="str">
        <f>IF('Controlo de Propinas'!C234="","",'Controlo de Propinas'!C234)</f>
        <v>4eme</v>
      </c>
      <c r="D225" s="51">
        <f t="shared" si="25"/>
        <v>170000</v>
      </c>
      <c r="E225" s="52">
        <v>0</v>
      </c>
      <c r="F225" s="52">
        <v>0</v>
      </c>
      <c r="G225" s="52">
        <v>0</v>
      </c>
      <c r="H225" s="52">
        <v>0</v>
      </c>
      <c r="I225" s="52">
        <v>0</v>
      </c>
      <c r="J225" s="52">
        <v>0</v>
      </c>
      <c r="K225" s="52">
        <v>0</v>
      </c>
      <c r="L225" s="52">
        <v>0</v>
      </c>
      <c r="M225" s="52">
        <v>0</v>
      </c>
      <c r="N225" s="52">
        <v>0</v>
      </c>
      <c r="O225" s="51" t="str">
        <f t="shared" si="26"/>
        <v/>
      </c>
      <c r="P225" s="53" t="str">
        <f t="shared" si="27"/>
        <v/>
      </c>
      <c r="Q225" s="54"/>
    </row>
    <row r="226" spans="1:17" ht="15" customHeight="1" x14ac:dyDescent="0.25">
      <c r="A226" s="184" t="str">
        <f>IF('Controlo de Propinas'!A235="","",'Controlo de Propinas'!A235)</f>
        <v/>
      </c>
      <c r="B226" s="184" t="str">
        <f>IF('Controlo de Propinas'!B235="","",'Controlo de Propinas'!B235)</f>
        <v/>
      </c>
      <c r="C226" s="184" t="str">
        <f>IF('Controlo de Propinas'!C235="","",'Controlo de Propinas'!C235)</f>
        <v>4eme</v>
      </c>
      <c r="D226" s="51">
        <f t="shared" si="25"/>
        <v>170000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0</v>
      </c>
      <c r="K226" s="52">
        <v>0</v>
      </c>
      <c r="L226" s="52">
        <v>0</v>
      </c>
      <c r="M226" s="52">
        <v>0</v>
      </c>
      <c r="N226" s="52">
        <v>0</v>
      </c>
      <c r="O226" s="51" t="str">
        <f t="shared" si="26"/>
        <v/>
      </c>
      <c r="P226" s="53" t="str">
        <f t="shared" si="27"/>
        <v/>
      </c>
      <c r="Q226" s="54"/>
    </row>
    <row r="227" spans="1:17" ht="15" customHeight="1" x14ac:dyDescent="0.25">
      <c r="A227" s="184" t="str">
        <f>IF('Controlo de Propinas'!A236="","",'Controlo de Propinas'!A236)</f>
        <v/>
      </c>
      <c r="B227" s="184" t="str">
        <f>IF('Controlo de Propinas'!B236="","",'Controlo de Propinas'!B236)</f>
        <v/>
      </c>
      <c r="C227" s="184" t="str">
        <f>IF('Controlo de Propinas'!C236="","",'Controlo de Propinas'!C236)</f>
        <v>4eme</v>
      </c>
      <c r="D227" s="51">
        <f t="shared" si="25"/>
        <v>170000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1" t="str">
        <f t="shared" si="26"/>
        <v/>
      </c>
      <c r="P227" s="53" t="str">
        <f t="shared" si="27"/>
        <v/>
      </c>
      <c r="Q227" s="54"/>
    </row>
    <row r="228" spans="1:17" ht="15" customHeight="1" x14ac:dyDescent="0.25">
      <c r="A228" s="184" t="str">
        <f>IF('Controlo de Propinas'!A237="","",'Controlo de Propinas'!A237)</f>
        <v/>
      </c>
      <c r="B228" s="184" t="str">
        <f>IF('Controlo de Propinas'!B237="","",'Controlo de Propinas'!B237)</f>
        <v/>
      </c>
      <c r="C228" s="184" t="str">
        <f>IF('Controlo de Propinas'!C237="","",'Controlo de Propinas'!C237)</f>
        <v>4eme</v>
      </c>
      <c r="D228" s="51">
        <f t="shared" si="25"/>
        <v>170000</v>
      </c>
      <c r="E228" s="52">
        <v>0</v>
      </c>
      <c r="F228" s="52">
        <v>0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2">
        <v>0</v>
      </c>
      <c r="N228" s="52">
        <v>0</v>
      </c>
      <c r="O228" s="51" t="str">
        <f t="shared" si="26"/>
        <v/>
      </c>
      <c r="P228" s="53" t="str">
        <f t="shared" si="27"/>
        <v/>
      </c>
      <c r="Q228" s="54"/>
    </row>
    <row r="229" spans="1:17" ht="15" customHeight="1" x14ac:dyDescent="0.25">
      <c r="A229" s="184" t="str">
        <f>IF('Controlo de Propinas'!A238="","",'Controlo de Propinas'!A238)</f>
        <v/>
      </c>
      <c r="B229" s="184" t="str">
        <f>IF('Controlo de Propinas'!B238="","",'Controlo de Propinas'!B238)</f>
        <v/>
      </c>
      <c r="C229" s="184" t="str">
        <f>IF('Controlo de Propinas'!C238="","",'Controlo de Propinas'!C238)</f>
        <v>4eme</v>
      </c>
      <c r="D229" s="51">
        <f t="shared" si="25"/>
        <v>170000</v>
      </c>
      <c r="E229" s="52">
        <v>0</v>
      </c>
      <c r="F229" s="52">
        <v>0</v>
      </c>
      <c r="G229" s="52">
        <v>0</v>
      </c>
      <c r="H229" s="52">
        <v>0</v>
      </c>
      <c r="I229" s="52">
        <v>0</v>
      </c>
      <c r="J229" s="52">
        <v>0</v>
      </c>
      <c r="K229" s="52">
        <v>0</v>
      </c>
      <c r="L229" s="52">
        <v>0</v>
      </c>
      <c r="M229" s="52">
        <v>0</v>
      </c>
      <c r="N229" s="52">
        <v>0</v>
      </c>
      <c r="O229" s="51" t="str">
        <f t="shared" si="26"/>
        <v/>
      </c>
      <c r="P229" s="53" t="str">
        <f t="shared" si="27"/>
        <v/>
      </c>
      <c r="Q229" s="54"/>
    </row>
    <row r="230" spans="1:17" ht="15" customHeight="1" x14ac:dyDescent="0.25">
      <c r="A230" s="184" t="str">
        <f>IF('Controlo de Propinas'!A239="","",'Controlo de Propinas'!A239)</f>
        <v/>
      </c>
      <c r="B230" s="184" t="str">
        <f>IF('Controlo de Propinas'!B239="","",'Controlo de Propinas'!B239)</f>
        <v/>
      </c>
      <c r="C230" s="184" t="str">
        <f>IF('Controlo de Propinas'!C239="","",'Controlo de Propinas'!C239)</f>
        <v>4eme</v>
      </c>
      <c r="D230" s="51">
        <f t="shared" si="25"/>
        <v>170000</v>
      </c>
      <c r="E230" s="52">
        <v>0</v>
      </c>
      <c r="F230" s="52">
        <v>0</v>
      </c>
      <c r="G230" s="52">
        <v>0</v>
      </c>
      <c r="H230" s="52">
        <v>0</v>
      </c>
      <c r="I230" s="52">
        <v>0</v>
      </c>
      <c r="J230" s="52">
        <v>0</v>
      </c>
      <c r="K230" s="52">
        <v>0</v>
      </c>
      <c r="L230" s="52">
        <v>0</v>
      </c>
      <c r="M230" s="52">
        <v>0</v>
      </c>
      <c r="N230" s="52">
        <v>0</v>
      </c>
      <c r="O230" s="51" t="str">
        <f t="shared" si="26"/>
        <v/>
      </c>
      <c r="P230" s="53" t="str">
        <f t="shared" si="27"/>
        <v/>
      </c>
      <c r="Q230" s="54"/>
    </row>
    <row r="231" spans="1:17" ht="15" customHeight="1" x14ac:dyDescent="0.25">
      <c r="A231" s="184" t="str">
        <f>IF('Controlo de Propinas'!A240="","",'Controlo de Propinas'!A240)</f>
        <v/>
      </c>
      <c r="B231" s="184" t="str">
        <f>IF('Controlo de Propinas'!B240="","",'Controlo de Propinas'!B240)</f>
        <v/>
      </c>
      <c r="C231" s="184" t="str">
        <f>IF('Controlo de Propinas'!C240="","",'Controlo de Propinas'!C240)</f>
        <v>4eme</v>
      </c>
      <c r="D231" s="51">
        <f t="shared" si="25"/>
        <v>170000</v>
      </c>
      <c r="E231" s="52">
        <v>0</v>
      </c>
      <c r="F231" s="52">
        <v>0</v>
      </c>
      <c r="G231" s="52">
        <v>0</v>
      </c>
      <c r="H231" s="52">
        <v>0</v>
      </c>
      <c r="I231" s="52">
        <v>0</v>
      </c>
      <c r="J231" s="52">
        <v>0</v>
      </c>
      <c r="K231" s="52">
        <v>0</v>
      </c>
      <c r="L231" s="52">
        <v>0</v>
      </c>
      <c r="M231" s="52">
        <v>0</v>
      </c>
      <c r="N231" s="52">
        <v>0</v>
      </c>
      <c r="O231" s="51" t="str">
        <f t="shared" si="26"/>
        <v/>
      </c>
      <c r="P231" s="53" t="str">
        <f t="shared" si="27"/>
        <v/>
      </c>
      <c r="Q231" s="54"/>
    </row>
    <row r="232" spans="1:17" ht="15" customHeight="1" x14ac:dyDescent="0.25">
      <c r="A232" s="184" t="str">
        <f>IF('Controlo de Propinas'!A241="","",'Controlo de Propinas'!A241)</f>
        <v/>
      </c>
      <c r="B232" s="184" t="str">
        <f>IF('Controlo de Propinas'!B241="","",'Controlo de Propinas'!B241)</f>
        <v/>
      </c>
      <c r="C232" s="184" t="str">
        <f>IF('Controlo de Propinas'!C241="","",'Controlo de Propinas'!C241)</f>
        <v>4eme</v>
      </c>
      <c r="D232" s="51" t="str">
        <f t="shared" si="25"/>
        <v/>
      </c>
      <c r="E232" s="52">
        <v>0</v>
      </c>
      <c r="F232" s="52">
        <v>0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0</v>
      </c>
      <c r="M232" s="52">
        <v>0</v>
      </c>
      <c r="N232" s="52">
        <v>0</v>
      </c>
      <c r="O232" s="51">
        <f t="shared" si="26"/>
        <v>0</v>
      </c>
      <c r="P232" s="53" t="str">
        <f t="shared" si="27"/>
        <v>Pendente</v>
      </c>
      <c r="Q232" s="54"/>
    </row>
    <row r="233" spans="1:17" ht="15" customHeight="1" x14ac:dyDescent="0.25">
      <c r="A233" s="184" t="str">
        <f>IF('Controlo de Propinas'!A242="","",'Controlo de Propinas'!A242)</f>
        <v/>
      </c>
      <c r="B233" s="184" t="str">
        <f>IF('Controlo de Propinas'!B242="","",'Controlo de Propinas'!B242)</f>
        <v/>
      </c>
      <c r="C233" s="184" t="str">
        <f>IF('Controlo de Propinas'!C242="","",'Controlo de Propinas'!C242)</f>
        <v>4eme</v>
      </c>
      <c r="D233" s="51" t="str">
        <f t="shared" si="25"/>
        <v/>
      </c>
      <c r="E233" s="52">
        <v>0</v>
      </c>
      <c r="F233" s="52">
        <v>0</v>
      </c>
      <c r="G233" s="52">
        <v>0</v>
      </c>
      <c r="H233" s="52">
        <v>0</v>
      </c>
      <c r="I233" s="52">
        <v>0</v>
      </c>
      <c r="J233" s="52">
        <v>0</v>
      </c>
      <c r="K233" s="52">
        <v>0</v>
      </c>
      <c r="L233" s="52">
        <v>0</v>
      </c>
      <c r="M233" s="52">
        <v>0</v>
      </c>
      <c r="N233" s="52">
        <v>0</v>
      </c>
      <c r="O233" s="51" t="str">
        <f t="shared" si="26"/>
        <v/>
      </c>
      <c r="P233" s="53" t="str">
        <f t="shared" si="27"/>
        <v/>
      </c>
      <c r="Q233" s="54"/>
    </row>
    <row r="234" spans="1:17" ht="15" customHeight="1" x14ac:dyDescent="0.25">
      <c r="A234" s="184" t="str">
        <f>IF('Controlo de Propinas'!A243="","",'Controlo de Propinas'!A243)</f>
        <v/>
      </c>
      <c r="B234" s="184" t="str">
        <f>IF('Controlo de Propinas'!B243="","",'Controlo de Propinas'!B243)</f>
        <v/>
      </c>
      <c r="C234" s="184" t="str">
        <f>IF('Controlo de Propinas'!C243="","",'Controlo de Propinas'!C243)</f>
        <v>4eme</v>
      </c>
      <c r="D234" s="51" t="str">
        <f t="shared" si="25"/>
        <v/>
      </c>
      <c r="E234" s="52">
        <v>0</v>
      </c>
      <c r="F234" s="52">
        <v>0</v>
      </c>
      <c r="G234" s="52">
        <v>0</v>
      </c>
      <c r="H234" s="52">
        <v>0</v>
      </c>
      <c r="I234" s="52">
        <v>0</v>
      </c>
      <c r="J234" s="52">
        <v>0</v>
      </c>
      <c r="K234" s="52">
        <v>0</v>
      </c>
      <c r="L234" s="52">
        <v>0</v>
      </c>
      <c r="M234" s="52">
        <v>0</v>
      </c>
      <c r="N234" s="52">
        <v>0</v>
      </c>
      <c r="O234" s="51" t="str">
        <f t="shared" si="26"/>
        <v/>
      </c>
      <c r="P234" s="53" t="str">
        <f t="shared" si="27"/>
        <v/>
      </c>
      <c r="Q234" s="54"/>
    </row>
    <row r="235" spans="1:17" ht="15" customHeight="1" x14ac:dyDescent="0.25">
      <c r="A235" s="184" t="str">
        <f>IF('Controlo de Propinas'!A244="","",'Controlo de Propinas'!A244)</f>
        <v/>
      </c>
      <c r="B235" s="184" t="str">
        <f>IF('Controlo de Propinas'!B244="","",'Controlo de Propinas'!B244)</f>
        <v/>
      </c>
      <c r="C235" s="184" t="str">
        <f>IF('Controlo de Propinas'!C244="","",'Controlo de Propinas'!C244)</f>
        <v>4eme</v>
      </c>
      <c r="D235" s="51">
        <f t="shared" si="25"/>
        <v>170000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0</v>
      </c>
      <c r="K235" s="52">
        <v>0</v>
      </c>
      <c r="L235" s="52">
        <v>0</v>
      </c>
      <c r="M235" s="52">
        <v>0</v>
      </c>
      <c r="N235" s="52">
        <v>0</v>
      </c>
      <c r="O235" s="51">
        <f t="shared" si="26"/>
        <v>0</v>
      </c>
      <c r="P235" s="53" t="str">
        <f t="shared" si="27"/>
        <v>Pago</v>
      </c>
      <c r="Q235" s="54"/>
    </row>
    <row r="236" spans="1:17" ht="15" customHeight="1" x14ac:dyDescent="0.25">
      <c r="A236" s="184" t="str">
        <f>IF('Controlo de Propinas'!A245="","",'Controlo de Propinas'!A245)</f>
        <v/>
      </c>
      <c r="B236" s="184" t="str">
        <f>IF('Controlo de Propinas'!B245="","",'Controlo de Propinas'!B245)</f>
        <v/>
      </c>
      <c r="C236" s="184" t="str">
        <f>IF('Controlo de Propinas'!C245="","",'Controlo de Propinas'!C245)</f>
        <v>4eme</v>
      </c>
      <c r="D236" s="51">
        <f t="shared" si="25"/>
        <v>260000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1">
        <f t="shared" si="26"/>
        <v>0</v>
      </c>
      <c r="P236" s="53" t="str">
        <f t="shared" si="27"/>
        <v>Pago</v>
      </c>
      <c r="Q236" s="54"/>
    </row>
    <row r="237" spans="1:17" ht="15" customHeight="1" x14ac:dyDescent="0.25">
      <c r="A237" s="184" t="str">
        <f>IF('Controlo de Propinas'!A246="","",'Controlo de Propinas'!A246)</f>
        <v/>
      </c>
      <c r="B237" s="184" t="str">
        <f>IF('Controlo de Propinas'!B246="","",'Controlo de Propinas'!B246)</f>
        <v/>
      </c>
      <c r="C237" s="184" t="str">
        <f>IF('Controlo de Propinas'!C246="","",'Controlo de Propinas'!C246)</f>
        <v>4eme</v>
      </c>
      <c r="D237" s="51">
        <f t="shared" si="25"/>
        <v>260000</v>
      </c>
      <c r="E237" s="52">
        <v>0</v>
      </c>
      <c r="F237" s="52">
        <v>0</v>
      </c>
      <c r="G237" s="52">
        <v>0</v>
      </c>
      <c r="H237" s="52">
        <v>0</v>
      </c>
      <c r="I237" s="52">
        <v>0</v>
      </c>
      <c r="J237" s="52">
        <v>0</v>
      </c>
      <c r="K237" s="52">
        <v>0</v>
      </c>
      <c r="L237" s="52">
        <v>0</v>
      </c>
      <c r="M237" s="52">
        <v>0</v>
      </c>
      <c r="N237" s="52">
        <v>0</v>
      </c>
      <c r="O237" s="51" t="str">
        <f t="shared" si="26"/>
        <v/>
      </c>
      <c r="P237" s="53" t="str">
        <f t="shared" si="27"/>
        <v/>
      </c>
      <c r="Q237" s="54"/>
    </row>
    <row r="238" spans="1:17" ht="15" customHeight="1" x14ac:dyDescent="0.25">
      <c r="A238" s="184" t="str">
        <f>IF('Controlo de Propinas'!A247="","",'Controlo de Propinas'!A247)</f>
        <v/>
      </c>
      <c r="B238" s="184" t="str">
        <f>IF('Controlo de Propinas'!B247="","",'Controlo de Propinas'!B247)</f>
        <v/>
      </c>
      <c r="C238" s="184" t="str">
        <f>IF('Controlo de Propinas'!C247="","",'Controlo de Propinas'!C247)</f>
        <v>4eme</v>
      </c>
      <c r="D238" s="51">
        <f t="shared" si="25"/>
        <v>260000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52">
        <v>0</v>
      </c>
      <c r="K238" s="52">
        <v>0</v>
      </c>
      <c r="L238" s="52">
        <v>0</v>
      </c>
      <c r="M238" s="52">
        <v>0</v>
      </c>
      <c r="N238" s="52">
        <v>0</v>
      </c>
      <c r="O238" s="51" t="str">
        <f t="shared" si="26"/>
        <v/>
      </c>
      <c r="P238" s="53" t="str">
        <f t="shared" si="27"/>
        <v/>
      </c>
      <c r="Q238" s="54"/>
    </row>
    <row r="239" spans="1:17" ht="15" customHeight="1" x14ac:dyDescent="0.25">
      <c r="A239" s="184" t="str">
        <f>IF('Controlo de Propinas'!A248="","",'Controlo de Propinas'!A248)</f>
        <v/>
      </c>
      <c r="B239" s="184" t="str">
        <f>IF('Controlo de Propinas'!B248="","",'Controlo de Propinas'!B248)</f>
        <v/>
      </c>
      <c r="C239" s="184" t="str">
        <f>IF('Controlo de Propinas'!C248="","",'Controlo de Propinas'!C248)</f>
        <v>4eme</v>
      </c>
      <c r="D239" s="51">
        <f t="shared" si="25"/>
        <v>260000</v>
      </c>
      <c r="E239" s="52">
        <v>0</v>
      </c>
      <c r="F239" s="52">
        <v>0</v>
      </c>
      <c r="G239" s="52">
        <v>0</v>
      </c>
      <c r="H239" s="52">
        <v>0</v>
      </c>
      <c r="I239" s="52">
        <v>0</v>
      </c>
      <c r="J239" s="52">
        <v>0</v>
      </c>
      <c r="K239" s="52">
        <v>0</v>
      </c>
      <c r="L239" s="52">
        <v>0</v>
      </c>
      <c r="M239" s="52">
        <v>0</v>
      </c>
      <c r="N239" s="52">
        <v>0</v>
      </c>
      <c r="O239" s="51" t="str">
        <f t="shared" si="26"/>
        <v/>
      </c>
      <c r="P239" s="53" t="str">
        <f t="shared" si="27"/>
        <v/>
      </c>
      <c r="Q239" s="54"/>
    </row>
    <row r="240" spans="1:17" x14ac:dyDescent="0.25">
      <c r="A240" s="184"/>
      <c r="B240" s="184"/>
      <c r="C240" s="184"/>
      <c r="D240" s="184"/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1" t="str">
        <f t="shared" si="26"/>
        <v/>
      </c>
      <c r="P240" s="53" t="str">
        <f t="shared" si="27"/>
        <v/>
      </c>
      <c r="Q240" s="54"/>
    </row>
    <row r="241" spans="1:17" ht="18" customHeight="1" x14ac:dyDescent="0.25">
      <c r="A241" s="253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5"/>
    </row>
    <row r="242" spans="1:17" ht="21.75" customHeight="1" x14ac:dyDescent="0.25">
      <c r="A242" s="184"/>
      <c r="B242" s="184"/>
      <c r="C242" s="184"/>
      <c r="D242" s="184"/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52">
        <v>0</v>
      </c>
      <c r="L242" s="52">
        <v>0</v>
      </c>
      <c r="M242" s="52">
        <v>0</v>
      </c>
      <c r="N242" s="52">
        <v>0</v>
      </c>
      <c r="O242" s="51" t="e">
        <f t="shared" ref="O242:O274" si="28">IF(B206="","",SUM(E206:N206))</f>
        <v>#REF!</v>
      </c>
      <c r="P242" s="53" t="e">
        <f t="shared" ref="P242:P274" si="29">IF(B206="","",IF(O206=0,"Pendente",IF(O206&lt;D206,"Parcial","Pago")))</f>
        <v>#REF!</v>
      </c>
      <c r="Q242" s="54"/>
    </row>
    <row r="243" spans="1:17" ht="15" customHeight="1" x14ac:dyDescent="0.25">
      <c r="A243" s="184"/>
      <c r="B243" s="184"/>
      <c r="C243" s="184"/>
      <c r="D243" s="184"/>
      <c r="E243" s="52">
        <v>0</v>
      </c>
      <c r="F243" s="52">
        <v>0</v>
      </c>
      <c r="G243" s="52">
        <v>0</v>
      </c>
      <c r="H243" s="52">
        <v>0</v>
      </c>
      <c r="I243" s="52">
        <v>0</v>
      </c>
      <c r="J243" s="52">
        <v>0</v>
      </c>
      <c r="K243" s="52">
        <v>0</v>
      </c>
      <c r="L243" s="52">
        <v>0</v>
      </c>
      <c r="M243" s="52">
        <v>0</v>
      </c>
      <c r="N243" s="52">
        <v>0</v>
      </c>
      <c r="O243" s="51" t="str">
        <f t="shared" si="28"/>
        <v/>
      </c>
      <c r="P243" s="53" t="str">
        <f t="shared" si="29"/>
        <v/>
      </c>
      <c r="Q243" s="54"/>
    </row>
    <row r="244" spans="1:17" ht="15" customHeight="1" x14ac:dyDescent="0.25">
      <c r="A244" s="184"/>
      <c r="B244" s="184"/>
      <c r="C244" s="184"/>
      <c r="D244" s="184"/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1" t="str">
        <f t="shared" si="28"/>
        <v/>
      </c>
      <c r="P244" s="53" t="str">
        <f t="shared" si="29"/>
        <v/>
      </c>
      <c r="Q244" s="54"/>
    </row>
    <row r="245" spans="1:17" ht="15" customHeight="1" x14ac:dyDescent="0.25">
      <c r="A245" s="184"/>
      <c r="B245" s="184"/>
      <c r="C245" s="184"/>
      <c r="D245" s="184"/>
      <c r="E245" s="52">
        <v>0</v>
      </c>
      <c r="F245" s="52">
        <v>0</v>
      </c>
      <c r="G245" s="52">
        <v>0</v>
      </c>
      <c r="H245" s="52">
        <v>0</v>
      </c>
      <c r="I245" s="52">
        <v>0</v>
      </c>
      <c r="J245" s="52">
        <v>0</v>
      </c>
      <c r="K245" s="52">
        <v>0</v>
      </c>
      <c r="L245" s="52">
        <v>0</v>
      </c>
      <c r="M245" s="52">
        <v>0</v>
      </c>
      <c r="N245" s="52">
        <v>0</v>
      </c>
      <c r="O245" s="51" t="str">
        <f t="shared" si="28"/>
        <v/>
      </c>
      <c r="P245" s="53" t="str">
        <f t="shared" si="29"/>
        <v/>
      </c>
      <c r="Q245" s="54"/>
    </row>
    <row r="246" spans="1:17" ht="15" customHeight="1" x14ac:dyDescent="0.25">
      <c r="A246" s="184"/>
      <c r="B246" s="184"/>
      <c r="C246" s="184"/>
      <c r="D246" s="184"/>
      <c r="E246" s="52">
        <v>0</v>
      </c>
      <c r="F246" s="52">
        <v>0</v>
      </c>
      <c r="G246" s="52">
        <v>0</v>
      </c>
      <c r="H246" s="52">
        <v>0</v>
      </c>
      <c r="I246" s="52">
        <v>0</v>
      </c>
      <c r="J246" s="52">
        <v>0</v>
      </c>
      <c r="K246" s="52">
        <v>0</v>
      </c>
      <c r="L246" s="52">
        <v>0</v>
      </c>
      <c r="M246" s="52">
        <v>0</v>
      </c>
      <c r="N246" s="52">
        <v>0</v>
      </c>
      <c r="O246" s="51" t="str">
        <f t="shared" si="28"/>
        <v/>
      </c>
      <c r="P246" s="53" t="str">
        <f t="shared" si="29"/>
        <v/>
      </c>
      <c r="Q246" s="54"/>
    </row>
    <row r="247" spans="1:17" ht="15" customHeight="1" x14ac:dyDescent="0.25">
      <c r="A247" s="184"/>
      <c r="B247" s="184"/>
      <c r="C247" s="184"/>
      <c r="D247" s="184"/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1" t="str">
        <f t="shared" si="28"/>
        <v/>
      </c>
      <c r="P247" s="53" t="str">
        <f t="shared" si="29"/>
        <v/>
      </c>
      <c r="Q247" s="54"/>
    </row>
    <row r="248" spans="1:17" ht="15" customHeight="1" x14ac:dyDescent="0.25">
      <c r="A248" s="184"/>
      <c r="B248" s="184"/>
      <c r="C248" s="184"/>
      <c r="D248" s="184"/>
      <c r="E248" s="52">
        <v>0</v>
      </c>
      <c r="F248" s="52">
        <v>0</v>
      </c>
      <c r="G248" s="52">
        <v>0</v>
      </c>
      <c r="H248" s="52">
        <v>0</v>
      </c>
      <c r="I248" s="52">
        <v>0</v>
      </c>
      <c r="J248" s="52">
        <v>0</v>
      </c>
      <c r="K248" s="52">
        <v>0</v>
      </c>
      <c r="L248" s="52">
        <v>0</v>
      </c>
      <c r="M248" s="52">
        <v>0</v>
      </c>
      <c r="N248" s="52">
        <v>0</v>
      </c>
      <c r="O248" s="51" t="str">
        <f t="shared" si="28"/>
        <v/>
      </c>
      <c r="P248" s="53" t="str">
        <f t="shared" si="29"/>
        <v/>
      </c>
      <c r="Q248" s="54"/>
    </row>
    <row r="249" spans="1:17" ht="15" customHeight="1" x14ac:dyDescent="0.25">
      <c r="A249" s="184"/>
      <c r="B249" s="184"/>
      <c r="C249" s="184"/>
      <c r="D249" s="184"/>
      <c r="E249" s="52">
        <v>0</v>
      </c>
      <c r="F249" s="52">
        <v>0</v>
      </c>
      <c r="G249" s="52">
        <v>0</v>
      </c>
      <c r="H249" s="52">
        <v>0</v>
      </c>
      <c r="I249" s="52">
        <v>0</v>
      </c>
      <c r="J249" s="52">
        <v>0</v>
      </c>
      <c r="K249" s="52">
        <v>0</v>
      </c>
      <c r="L249" s="52">
        <v>0</v>
      </c>
      <c r="M249" s="52">
        <v>0</v>
      </c>
      <c r="N249" s="52">
        <v>0</v>
      </c>
      <c r="O249" s="51" t="str">
        <f t="shared" si="28"/>
        <v/>
      </c>
      <c r="P249" s="53" t="str">
        <f t="shared" si="29"/>
        <v/>
      </c>
      <c r="Q249" s="54"/>
    </row>
    <row r="250" spans="1:17" ht="15" customHeight="1" x14ac:dyDescent="0.25">
      <c r="A250" s="184"/>
      <c r="B250" s="184"/>
      <c r="C250" s="184"/>
      <c r="D250" s="184"/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0</v>
      </c>
      <c r="K250" s="52">
        <v>0</v>
      </c>
      <c r="L250" s="52">
        <v>0</v>
      </c>
      <c r="M250" s="52">
        <v>0</v>
      </c>
      <c r="N250" s="52">
        <v>0</v>
      </c>
      <c r="O250" s="51" t="str">
        <f t="shared" si="28"/>
        <v/>
      </c>
      <c r="P250" s="53" t="str">
        <f t="shared" si="29"/>
        <v/>
      </c>
      <c r="Q250" s="54"/>
    </row>
    <row r="251" spans="1:17" ht="15" customHeight="1" x14ac:dyDescent="0.25">
      <c r="A251" s="184"/>
      <c r="B251" s="184"/>
      <c r="C251" s="184"/>
      <c r="D251" s="184"/>
      <c r="E251" s="52">
        <v>0</v>
      </c>
      <c r="F251" s="52">
        <v>0</v>
      </c>
      <c r="G251" s="52">
        <v>0</v>
      </c>
      <c r="H251" s="52">
        <v>0</v>
      </c>
      <c r="I251" s="52">
        <v>0</v>
      </c>
      <c r="J251" s="52">
        <v>0</v>
      </c>
      <c r="K251" s="52">
        <v>0</v>
      </c>
      <c r="L251" s="52">
        <v>0</v>
      </c>
      <c r="M251" s="52">
        <v>0</v>
      </c>
      <c r="N251" s="52">
        <v>0</v>
      </c>
      <c r="O251" s="51" t="str">
        <f t="shared" si="28"/>
        <v/>
      </c>
      <c r="P251" s="53" t="str">
        <f t="shared" si="29"/>
        <v/>
      </c>
      <c r="Q251" s="54"/>
    </row>
    <row r="252" spans="1:17" ht="15" customHeight="1" x14ac:dyDescent="0.25">
      <c r="A252" s="184"/>
      <c r="B252" s="184"/>
      <c r="C252" s="184"/>
      <c r="D252" s="184"/>
      <c r="E252" s="52">
        <v>0</v>
      </c>
      <c r="F252" s="52">
        <v>0</v>
      </c>
      <c r="G252" s="52">
        <v>0</v>
      </c>
      <c r="H252" s="52">
        <v>0</v>
      </c>
      <c r="I252" s="52">
        <v>0</v>
      </c>
      <c r="J252" s="52">
        <v>0</v>
      </c>
      <c r="K252" s="52">
        <v>0</v>
      </c>
      <c r="L252" s="52">
        <v>0</v>
      </c>
      <c r="M252" s="52">
        <v>0</v>
      </c>
      <c r="N252" s="52">
        <v>0</v>
      </c>
      <c r="O252" s="51" t="str">
        <f t="shared" si="28"/>
        <v/>
      </c>
      <c r="P252" s="53" t="str">
        <f t="shared" si="29"/>
        <v/>
      </c>
      <c r="Q252" s="54"/>
    </row>
    <row r="253" spans="1:17" ht="15" customHeight="1" x14ac:dyDescent="0.25">
      <c r="A253" s="184"/>
      <c r="B253" s="184"/>
      <c r="C253" s="184"/>
      <c r="D253" s="184"/>
      <c r="E253" s="52">
        <v>0</v>
      </c>
      <c r="F253" s="52">
        <v>0</v>
      </c>
      <c r="G253" s="52">
        <v>0</v>
      </c>
      <c r="H253" s="52">
        <v>0</v>
      </c>
      <c r="I253" s="52">
        <v>0</v>
      </c>
      <c r="J253" s="52">
        <v>0</v>
      </c>
      <c r="K253" s="52">
        <v>0</v>
      </c>
      <c r="L253" s="52">
        <v>0</v>
      </c>
      <c r="M253" s="52">
        <v>0</v>
      </c>
      <c r="N253" s="52">
        <v>0</v>
      </c>
      <c r="O253" s="51" t="str">
        <f t="shared" si="28"/>
        <v/>
      </c>
      <c r="P253" s="53" t="str">
        <f t="shared" si="29"/>
        <v/>
      </c>
      <c r="Q253" s="54"/>
    </row>
    <row r="254" spans="1:17" ht="15" customHeight="1" x14ac:dyDescent="0.25">
      <c r="A254" s="184"/>
      <c r="B254" s="184"/>
      <c r="C254" s="184"/>
      <c r="D254" s="184"/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1" t="str">
        <f t="shared" si="28"/>
        <v/>
      </c>
      <c r="P254" s="53" t="str">
        <f t="shared" si="29"/>
        <v/>
      </c>
      <c r="Q254" s="54"/>
    </row>
    <row r="255" spans="1:17" ht="15" customHeight="1" x14ac:dyDescent="0.25">
      <c r="A255" s="184"/>
      <c r="B255" s="184"/>
      <c r="C255" s="184"/>
      <c r="D255" s="184"/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52">
        <v>0</v>
      </c>
      <c r="K255" s="52">
        <v>0</v>
      </c>
      <c r="L255" s="52">
        <v>0</v>
      </c>
      <c r="M255" s="52">
        <v>0</v>
      </c>
      <c r="N255" s="52">
        <v>0</v>
      </c>
      <c r="O255" s="51" t="str">
        <f t="shared" si="28"/>
        <v/>
      </c>
      <c r="P255" s="53" t="str">
        <f t="shared" si="29"/>
        <v/>
      </c>
      <c r="Q255" s="54"/>
    </row>
    <row r="256" spans="1:17" ht="15" customHeight="1" x14ac:dyDescent="0.25">
      <c r="A256" s="184"/>
      <c r="B256" s="184"/>
      <c r="C256" s="184"/>
      <c r="D256" s="184"/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52">
        <v>0</v>
      </c>
      <c r="K256" s="52">
        <v>0</v>
      </c>
      <c r="L256" s="52">
        <v>0</v>
      </c>
      <c r="M256" s="52">
        <v>0</v>
      </c>
      <c r="N256" s="52">
        <v>0</v>
      </c>
      <c r="O256" s="51" t="str">
        <f t="shared" si="28"/>
        <v/>
      </c>
      <c r="P256" s="53" t="str">
        <f t="shared" si="29"/>
        <v/>
      </c>
      <c r="Q256" s="54"/>
    </row>
    <row r="257" spans="1:17" ht="15" customHeight="1" x14ac:dyDescent="0.25">
      <c r="A257" s="184"/>
      <c r="B257" s="184"/>
      <c r="C257" s="184"/>
      <c r="D257" s="184"/>
      <c r="E257" s="52">
        <v>0</v>
      </c>
      <c r="F257" s="52">
        <v>0</v>
      </c>
      <c r="G257" s="52">
        <v>0</v>
      </c>
      <c r="H257" s="52">
        <v>0</v>
      </c>
      <c r="I257" s="52">
        <v>0</v>
      </c>
      <c r="J257" s="52">
        <v>0</v>
      </c>
      <c r="K257" s="52">
        <v>0</v>
      </c>
      <c r="L257" s="52">
        <v>0</v>
      </c>
      <c r="M257" s="52">
        <v>0</v>
      </c>
      <c r="N257" s="52">
        <v>0</v>
      </c>
      <c r="O257" s="51" t="str">
        <f t="shared" si="28"/>
        <v/>
      </c>
      <c r="P257" s="53" t="str">
        <f t="shared" si="29"/>
        <v/>
      </c>
      <c r="Q257" s="54"/>
    </row>
    <row r="258" spans="1:17" ht="15" customHeight="1" x14ac:dyDescent="0.25">
      <c r="A258" s="184"/>
      <c r="B258" s="184"/>
      <c r="C258" s="184"/>
      <c r="D258" s="184"/>
      <c r="E258" s="52">
        <v>0</v>
      </c>
      <c r="F258" s="52">
        <v>0</v>
      </c>
      <c r="G258" s="52">
        <v>0</v>
      </c>
      <c r="H258" s="52">
        <v>0</v>
      </c>
      <c r="I258" s="52">
        <v>0</v>
      </c>
      <c r="J258" s="52">
        <v>0</v>
      </c>
      <c r="K258" s="52">
        <v>0</v>
      </c>
      <c r="L258" s="52">
        <v>0</v>
      </c>
      <c r="M258" s="52">
        <v>0</v>
      </c>
      <c r="N258" s="52">
        <v>0</v>
      </c>
      <c r="O258" s="51" t="str">
        <f t="shared" si="28"/>
        <v/>
      </c>
      <c r="P258" s="53" t="str">
        <f t="shared" si="29"/>
        <v/>
      </c>
      <c r="Q258" s="54"/>
    </row>
    <row r="259" spans="1:17" ht="15" customHeight="1" x14ac:dyDescent="0.25">
      <c r="A259" s="184"/>
      <c r="B259" s="184"/>
      <c r="C259" s="184"/>
      <c r="D259" s="184"/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0</v>
      </c>
      <c r="O259" s="51" t="str">
        <f t="shared" si="28"/>
        <v/>
      </c>
      <c r="P259" s="53" t="str">
        <f t="shared" si="29"/>
        <v/>
      </c>
      <c r="Q259" s="54"/>
    </row>
    <row r="260" spans="1:17" ht="15" customHeight="1" x14ac:dyDescent="0.25">
      <c r="A260" s="184"/>
      <c r="B260" s="184"/>
      <c r="C260" s="184"/>
      <c r="D260" s="184"/>
      <c r="E260" s="52">
        <v>0</v>
      </c>
      <c r="F260" s="52">
        <v>0</v>
      </c>
      <c r="G260" s="52">
        <v>0</v>
      </c>
      <c r="H260" s="52">
        <v>0</v>
      </c>
      <c r="I260" s="52">
        <v>0</v>
      </c>
      <c r="J260" s="52">
        <v>0</v>
      </c>
      <c r="K260" s="52">
        <v>0</v>
      </c>
      <c r="L260" s="52">
        <v>0</v>
      </c>
      <c r="M260" s="52">
        <v>0</v>
      </c>
      <c r="N260" s="52">
        <v>0</v>
      </c>
      <c r="O260" s="51" t="str">
        <f t="shared" si="28"/>
        <v/>
      </c>
      <c r="P260" s="53" t="str">
        <f t="shared" si="29"/>
        <v/>
      </c>
      <c r="Q260" s="54"/>
    </row>
    <row r="261" spans="1:17" ht="15" customHeight="1" x14ac:dyDescent="0.25">
      <c r="A261" s="184"/>
      <c r="B261" s="184"/>
      <c r="C261" s="184"/>
      <c r="D261" s="184"/>
      <c r="E261" s="52">
        <v>0</v>
      </c>
      <c r="F261" s="52">
        <v>0</v>
      </c>
      <c r="G261" s="52">
        <v>0</v>
      </c>
      <c r="H261" s="52">
        <v>0</v>
      </c>
      <c r="I261" s="52">
        <v>0</v>
      </c>
      <c r="J261" s="52">
        <v>0</v>
      </c>
      <c r="K261" s="52">
        <v>0</v>
      </c>
      <c r="L261" s="52">
        <v>0</v>
      </c>
      <c r="M261" s="52">
        <v>0</v>
      </c>
      <c r="N261" s="52">
        <v>0</v>
      </c>
      <c r="O261" s="51" t="str">
        <f t="shared" si="28"/>
        <v/>
      </c>
      <c r="P261" s="53" t="str">
        <f t="shared" si="29"/>
        <v/>
      </c>
      <c r="Q261" s="54"/>
    </row>
    <row r="262" spans="1:17" ht="15" customHeight="1" x14ac:dyDescent="0.25">
      <c r="A262" s="184"/>
      <c r="B262" s="184"/>
      <c r="C262" s="184"/>
      <c r="D262" s="184"/>
      <c r="E262" s="52">
        <v>0</v>
      </c>
      <c r="F262" s="52">
        <v>0</v>
      </c>
      <c r="G262" s="52">
        <v>0</v>
      </c>
      <c r="H262" s="52">
        <v>0</v>
      </c>
      <c r="I262" s="52">
        <v>0</v>
      </c>
      <c r="J262" s="52">
        <v>0</v>
      </c>
      <c r="K262" s="52">
        <v>0</v>
      </c>
      <c r="L262" s="52">
        <v>0</v>
      </c>
      <c r="M262" s="52">
        <v>0</v>
      </c>
      <c r="N262" s="52">
        <v>0</v>
      </c>
      <c r="O262" s="51" t="str">
        <f t="shared" si="28"/>
        <v/>
      </c>
      <c r="P262" s="53" t="str">
        <f t="shared" si="29"/>
        <v/>
      </c>
      <c r="Q262" s="54"/>
    </row>
    <row r="263" spans="1:17" ht="15" customHeight="1" x14ac:dyDescent="0.25">
      <c r="A263" s="184"/>
      <c r="B263" s="184"/>
      <c r="C263" s="184"/>
      <c r="D263" s="184"/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1" t="str">
        <f t="shared" si="28"/>
        <v/>
      </c>
      <c r="P263" s="53" t="str">
        <f t="shared" si="29"/>
        <v/>
      </c>
      <c r="Q263" s="54"/>
    </row>
    <row r="264" spans="1:17" ht="15" customHeight="1" x14ac:dyDescent="0.25">
      <c r="A264" s="184"/>
      <c r="B264" s="184"/>
      <c r="C264" s="184"/>
      <c r="D264" s="184"/>
      <c r="E264" s="52">
        <v>0</v>
      </c>
      <c r="F264" s="52">
        <v>0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1" t="str">
        <f t="shared" si="28"/>
        <v/>
      </c>
      <c r="P264" s="53" t="str">
        <f t="shared" si="29"/>
        <v/>
      </c>
      <c r="Q264" s="54"/>
    </row>
    <row r="265" spans="1:17" ht="15" customHeight="1" x14ac:dyDescent="0.25">
      <c r="A265" s="184"/>
      <c r="B265" s="184"/>
      <c r="C265" s="184"/>
      <c r="D265" s="184"/>
      <c r="E265" s="52">
        <v>0</v>
      </c>
      <c r="F265" s="52">
        <v>0</v>
      </c>
      <c r="G265" s="52">
        <v>0</v>
      </c>
      <c r="H265" s="52">
        <v>0</v>
      </c>
      <c r="I265" s="52">
        <v>0</v>
      </c>
      <c r="J265" s="52">
        <v>0</v>
      </c>
      <c r="K265" s="52">
        <v>0</v>
      </c>
      <c r="L265" s="52">
        <v>0</v>
      </c>
      <c r="M265" s="52">
        <v>0</v>
      </c>
      <c r="N265" s="52">
        <v>0</v>
      </c>
      <c r="O265" s="51" t="str">
        <f t="shared" si="28"/>
        <v/>
      </c>
      <c r="P265" s="53" t="str">
        <f t="shared" si="29"/>
        <v/>
      </c>
      <c r="Q265" s="54"/>
    </row>
    <row r="266" spans="1:17" ht="15" customHeight="1" x14ac:dyDescent="0.25">
      <c r="A266" s="184"/>
      <c r="B266" s="184"/>
      <c r="C266" s="184"/>
      <c r="D266" s="184"/>
      <c r="E266" s="52">
        <v>0</v>
      </c>
      <c r="F266" s="52">
        <v>0</v>
      </c>
      <c r="G266" s="52">
        <v>0</v>
      </c>
      <c r="H266" s="52">
        <v>0</v>
      </c>
      <c r="I266" s="52">
        <v>0</v>
      </c>
      <c r="J266" s="52">
        <v>0</v>
      </c>
      <c r="K266" s="52">
        <v>0</v>
      </c>
      <c r="L266" s="52">
        <v>0</v>
      </c>
      <c r="M266" s="52">
        <v>0</v>
      </c>
      <c r="N266" s="52">
        <v>0</v>
      </c>
      <c r="O266" s="51" t="str">
        <f t="shared" si="28"/>
        <v/>
      </c>
      <c r="P266" s="53" t="str">
        <f t="shared" si="29"/>
        <v/>
      </c>
      <c r="Q266" s="54"/>
    </row>
    <row r="267" spans="1:17" ht="15" customHeight="1" x14ac:dyDescent="0.25">
      <c r="A267" s="184"/>
      <c r="B267" s="184"/>
      <c r="C267" s="184"/>
      <c r="D267" s="184"/>
      <c r="E267" s="52">
        <v>0</v>
      </c>
      <c r="F267" s="52">
        <v>0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1" t="str">
        <f t="shared" si="28"/>
        <v/>
      </c>
      <c r="P267" s="53" t="str">
        <f t="shared" si="29"/>
        <v/>
      </c>
      <c r="Q267" s="54"/>
    </row>
    <row r="268" spans="1:17" ht="15" customHeight="1" x14ac:dyDescent="0.25">
      <c r="A268" s="184"/>
      <c r="B268" s="184"/>
      <c r="C268" s="184"/>
      <c r="D268" s="184"/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1" t="str">
        <f t="shared" si="28"/>
        <v/>
      </c>
      <c r="P268" s="53" t="str">
        <f t="shared" si="29"/>
        <v/>
      </c>
      <c r="Q268" s="54"/>
    </row>
    <row r="269" spans="1:17" ht="15" customHeight="1" x14ac:dyDescent="0.25">
      <c r="A269" s="184"/>
      <c r="B269" s="184"/>
      <c r="C269" s="184"/>
      <c r="D269" s="184"/>
      <c r="E269" s="52">
        <v>0</v>
      </c>
      <c r="F269" s="52">
        <v>0</v>
      </c>
      <c r="G269" s="52">
        <v>0</v>
      </c>
      <c r="H269" s="52">
        <v>0</v>
      </c>
      <c r="I269" s="52">
        <v>0</v>
      </c>
      <c r="J269" s="52">
        <v>0</v>
      </c>
      <c r="K269" s="52">
        <v>0</v>
      </c>
      <c r="L269" s="52">
        <v>0</v>
      </c>
      <c r="M269" s="52">
        <v>0</v>
      </c>
      <c r="N269" s="52">
        <v>0</v>
      </c>
      <c r="O269" s="51" t="str">
        <f t="shared" si="28"/>
        <v/>
      </c>
      <c r="P269" s="53" t="str">
        <f t="shared" si="29"/>
        <v/>
      </c>
      <c r="Q269" s="54"/>
    </row>
    <row r="270" spans="1:17" ht="15" customHeight="1" x14ac:dyDescent="0.25">
      <c r="A270" s="184"/>
      <c r="B270" s="184"/>
      <c r="C270" s="184"/>
      <c r="D270" s="184"/>
      <c r="E270" s="52">
        <v>0</v>
      </c>
      <c r="F270" s="52">
        <v>0</v>
      </c>
      <c r="G270" s="52">
        <v>0</v>
      </c>
      <c r="H270" s="52">
        <v>0</v>
      </c>
      <c r="I270" s="52">
        <v>0</v>
      </c>
      <c r="J270" s="52">
        <v>0</v>
      </c>
      <c r="K270" s="52">
        <v>0</v>
      </c>
      <c r="L270" s="52">
        <v>0</v>
      </c>
      <c r="M270" s="52">
        <v>0</v>
      </c>
      <c r="N270" s="52">
        <v>0</v>
      </c>
      <c r="O270" s="51" t="str">
        <f t="shared" si="28"/>
        <v/>
      </c>
      <c r="P270" s="53" t="str">
        <f t="shared" si="29"/>
        <v/>
      </c>
      <c r="Q270" s="54"/>
    </row>
    <row r="271" spans="1:17" ht="15" customHeight="1" x14ac:dyDescent="0.25">
      <c r="A271" s="184"/>
      <c r="B271" s="184"/>
      <c r="C271" s="184"/>
      <c r="D271" s="184"/>
      <c r="E271" s="52">
        <v>0</v>
      </c>
      <c r="F271" s="52">
        <v>0</v>
      </c>
      <c r="G271" s="52">
        <v>0</v>
      </c>
      <c r="H271" s="52">
        <v>0</v>
      </c>
      <c r="I271" s="52">
        <v>0</v>
      </c>
      <c r="J271" s="52">
        <v>0</v>
      </c>
      <c r="K271" s="52">
        <v>0</v>
      </c>
      <c r="L271" s="52">
        <v>0</v>
      </c>
      <c r="M271" s="52">
        <v>0</v>
      </c>
      <c r="N271" s="52">
        <v>0</v>
      </c>
      <c r="O271" s="51" t="str">
        <f t="shared" si="28"/>
        <v/>
      </c>
      <c r="P271" s="53" t="str">
        <f t="shared" si="29"/>
        <v/>
      </c>
      <c r="Q271" s="54"/>
    </row>
    <row r="272" spans="1:17" ht="15" customHeight="1" x14ac:dyDescent="0.25">
      <c r="A272" s="184"/>
      <c r="B272" s="184"/>
      <c r="C272" s="184"/>
      <c r="D272" s="184"/>
      <c r="E272" s="52">
        <v>0</v>
      </c>
      <c r="F272" s="52">
        <v>0</v>
      </c>
      <c r="G272" s="52">
        <v>0</v>
      </c>
      <c r="H272" s="52">
        <v>0</v>
      </c>
      <c r="I272" s="52">
        <v>0</v>
      </c>
      <c r="J272" s="52">
        <v>0</v>
      </c>
      <c r="K272" s="52">
        <v>0</v>
      </c>
      <c r="L272" s="52">
        <v>0</v>
      </c>
      <c r="M272" s="52">
        <v>0</v>
      </c>
      <c r="N272" s="52">
        <v>0</v>
      </c>
      <c r="O272" s="51" t="str">
        <f t="shared" si="28"/>
        <v/>
      </c>
      <c r="P272" s="53" t="str">
        <f t="shared" si="29"/>
        <v/>
      </c>
      <c r="Q272" s="54"/>
    </row>
    <row r="273" spans="1:17" ht="15" customHeight="1" x14ac:dyDescent="0.25">
      <c r="A273" s="184"/>
      <c r="B273" s="184"/>
      <c r="C273" s="184"/>
      <c r="D273" s="184"/>
      <c r="E273" s="52">
        <v>0</v>
      </c>
      <c r="F273" s="52">
        <v>0</v>
      </c>
      <c r="G273" s="52">
        <v>0</v>
      </c>
      <c r="H273" s="52">
        <v>0</v>
      </c>
      <c r="I273" s="52">
        <v>0</v>
      </c>
      <c r="J273" s="52">
        <v>0</v>
      </c>
      <c r="K273" s="52">
        <v>0</v>
      </c>
      <c r="L273" s="52">
        <v>0</v>
      </c>
      <c r="M273" s="52">
        <v>0</v>
      </c>
      <c r="N273" s="52">
        <v>0</v>
      </c>
      <c r="O273" s="51" t="str">
        <f t="shared" si="28"/>
        <v/>
      </c>
      <c r="P273" s="53" t="str">
        <f t="shared" si="29"/>
        <v/>
      </c>
      <c r="Q273" s="54"/>
    </row>
    <row r="274" spans="1:17" ht="15" customHeight="1" x14ac:dyDescent="0.25">
      <c r="A274" s="184"/>
      <c r="B274" s="184"/>
      <c r="C274" s="184"/>
      <c r="D274" s="184"/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1" t="str">
        <f t="shared" si="28"/>
        <v/>
      </c>
      <c r="P274" s="53" t="str">
        <f t="shared" si="29"/>
        <v/>
      </c>
      <c r="Q274" s="54"/>
    </row>
    <row r="275" spans="1:17" ht="15" customHeight="1" x14ac:dyDescent="0.25">
      <c r="A275" s="56" t="s">
        <v>98</v>
      </c>
      <c r="B275" s="56" t="str">
        <f>COUNTIF(B164:B238,"?*")&amp;" alunos"</f>
        <v>6 alunos</v>
      </c>
      <c r="C275" s="36"/>
      <c r="D275" s="36"/>
      <c r="E275" s="57">
        <f t="shared" ref="E275:O275" si="30">SUM(E164:E238)</f>
        <v>0</v>
      </c>
      <c r="F275" s="57">
        <f t="shared" si="30"/>
        <v>0</v>
      </c>
      <c r="G275" s="57">
        <f t="shared" si="30"/>
        <v>0</v>
      </c>
      <c r="H275" s="57">
        <f t="shared" si="30"/>
        <v>0</v>
      </c>
      <c r="I275" s="57">
        <f t="shared" si="30"/>
        <v>0</v>
      </c>
      <c r="J275" s="57">
        <f t="shared" si="30"/>
        <v>0</v>
      </c>
      <c r="K275" s="57">
        <f t="shared" si="30"/>
        <v>0</v>
      </c>
      <c r="L275" s="57">
        <f t="shared" si="30"/>
        <v>0</v>
      </c>
      <c r="M275" s="57">
        <f t="shared" si="30"/>
        <v>0</v>
      </c>
      <c r="N275" s="57">
        <f t="shared" si="30"/>
        <v>0</v>
      </c>
      <c r="O275" s="57" t="e">
        <f t="shared" si="30"/>
        <v>#REF!</v>
      </c>
      <c r="P275" s="36"/>
      <c r="Q275" s="36"/>
    </row>
    <row r="276" spans="1:17" ht="15" customHeight="1" x14ac:dyDescent="0.25"/>
    <row r="277" spans="1:17" ht="15" customHeight="1" x14ac:dyDescent="0.25">
      <c r="A277" s="48" t="s">
        <v>144</v>
      </c>
    </row>
    <row r="278" spans="1:17" ht="15" customHeight="1" x14ac:dyDescent="0.25">
      <c r="A278" s="31" t="s">
        <v>64</v>
      </c>
      <c r="B278" s="31" t="s">
        <v>65</v>
      </c>
      <c r="C278" s="31" t="s">
        <v>66</v>
      </c>
      <c r="D278" s="31" t="s">
        <v>126</v>
      </c>
      <c r="E278" s="31" t="s">
        <v>127</v>
      </c>
      <c r="F278" s="31" t="s">
        <v>128</v>
      </c>
      <c r="G278" s="31" t="s">
        <v>129</v>
      </c>
      <c r="H278" s="31" t="s">
        <v>130</v>
      </c>
      <c r="I278" s="31" t="s">
        <v>131</v>
      </c>
      <c r="J278" s="31" t="s">
        <v>132</v>
      </c>
      <c r="K278" s="31" t="s">
        <v>133</v>
      </c>
      <c r="L278" s="31" t="s">
        <v>134</v>
      </c>
      <c r="M278" s="31" t="s">
        <v>135</v>
      </c>
      <c r="N278" s="31" t="s">
        <v>136</v>
      </c>
      <c r="O278" s="31" t="s">
        <v>137</v>
      </c>
      <c r="P278" s="31" t="s">
        <v>138</v>
      </c>
      <c r="Q278" s="31" t="s">
        <v>139</v>
      </c>
    </row>
    <row r="279" spans="1:17" ht="15" customHeight="1" x14ac:dyDescent="0.25">
      <c r="A279" s="184" t="str">
        <f>IF('Controlo de Propinas'!A253="","",'Controlo de Propinas'!A253)</f>
        <v>3E-01</v>
      </c>
      <c r="B279" s="184" t="str">
        <f>IF('Controlo de Propinas'!B253="","",'Controlo de Propinas'!B253)</f>
        <v>Belangela Nito Daniel Kanvadioko</v>
      </c>
      <c r="C279" s="184" t="str">
        <f>IF('Controlo de Propinas'!C253="","",'Controlo de Propinas'!C253)</f>
        <v>3ème</v>
      </c>
      <c r="D279" s="51" t="str">
        <f t="shared" ref="D279:D318" si="31">IF(C243="","",IF(OR(C243="Maternelle",C243="Maternelle P1",C243="Maternelle P2",C243="Maternelle P3"),170000,IF(C243="CM2",250000,IF(C243="4eme",260000,170000))))</f>
        <v/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0</v>
      </c>
      <c r="K279" s="52">
        <v>0</v>
      </c>
      <c r="L279" s="52">
        <v>0</v>
      </c>
      <c r="M279" s="52">
        <v>0</v>
      </c>
      <c r="N279" s="52">
        <v>0</v>
      </c>
      <c r="O279" s="51" t="str">
        <f t="shared" ref="O279:O310" si="32">IF(B243="","",SUM(E243:N243))</f>
        <v/>
      </c>
      <c r="P279" s="53" t="str">
        <f t="shared" ref="P279:P310" si="33">IF(B243="","",IF(O243=0,"Pendente",IF(O243&lt;D243,"Parcial","Pago")))</f>
        <v/>
      </c>
      <c r="Q279" s="54"/>
    </row>
    <row r="280" spans="1:17" ht="15" customHeight="1" x14ac:dyDescent="0.25">
      <c r="A280" s="184" t="str">
        <f>IF('Controlo de Propinas'!A254="","",'Controlo de Propinas'!A254)</f>
        <v/>
      </c>
      <c r="B280" s="184" t="str">
        <f>IF('Controlo de Propinas'!B254="","",'Controlo de Propinas'!B254)</f>
        <v/>
      </c>
      <c r="C280" s="184" t="str">
        <f>IF('Controlo de Propinas'!C254="","",'Controlo de Propinas'!C254)</f>
        <v/>
      </c>
      <c r="D280" s="51" t="str">
        <f t="shared" si="31"/>
        <v/>
      </c>
      <c r="E280" s="52">
        <v>0</v>
      </c>
      <c r="F280" s="52">
        <v>0</v>
      </c>
      <c r="G280" s="52">
        <v>0</v>
      </c>
      <c r="H280" s="52">
        <v>0</v>
      </c>
      <c r="I280" s="52">
        <v>0</v>
      </c>
      <c r="J280" s="52">
        <v>0</v>
      </c>
      <c r="K280" s="52">
        <v>0</v>
      </c>
      <c r="L280" s="52">
        <v>0</v>
      </c>
      <c r="M280" s="52">
        <v>0</v>
      </c>
      <c r="N280" s="52">
        <v>0</v>
      </c>
      <c r="O280" s="51" t="str">
        <f t="shared" si="32"/>
        <v/>
      </c>
      <c r="P280" s="53" t="str">
        <f t="shared" si="33"/>
        <v/>
      </c>
      <c r="Q280" s="54"/>
    </row>
    <row r="281" spans="1:17" ht="15" customHeight="1" x14ac:dyDescent="0.25">
      <c r="A281" s="184" t="str">
        <f>IF('Controlo de Propinas'!A255="","",'Controlo de Propinas'!A255)</f>
        <v/>
      </c>
      <c r="B281" s="184" t="str">
        <f>IF('Controlo de Propinas'!B255="","",'Controlo de Propinas'!B255)</f>
        <v/>
      </c>
      <c r="C281" s="184" t="str">
        <f>IF('Controlo de Propinas'!C255="","",'Controlo de Propinas'!C255)</f>
        <v/>
      </c>
      <c r="D281" s="51" t="str">
        <f t="shared" si="31"/>
        <v/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1" t="str">
        <f t="shared" si="32"/>
        <v/>
      </c>
      <c r="P281" s="53" t="str">
        <f t="shared" si="33"/>
        <v/>
      </c>
      <c r="Q281" s="54"/>
    </row>
    <row r="282" spans="1:17" ht="15" customHeight="1" x14ac:dyDescent="0.25">
      <c r="A282" s="184" t="str">
        <f>IF('Controlo de Propinas'!A256="","",'Controlo de Propinas'!A256)</f>
        <v/>
      </c>
      <c r="B282" s="184" t="str">
        <f>IF('Controlo de Propinas'!B256="","",'Controlo de Propinas'!B256)</f>
        <v/>
      </c>
      <c r="C282" s="184" t="str">
        <f>IF('Controlo de Propinas'!C256="","",'Controlo de Propinas'!C256)</f>
        <v/>
      </c>
      <c r="D282" s="51" t="str">
        <f t="shared" si="31"/>
        <v/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0</v>
      </c>
      <c r="K282" s="52">
        <v>0</v>
      </c>
      <c r="L282" s="52">
        <v>0</v>
      </c>
      <c r="M282" s="52">
        <v>0</v>
      </c>
      <c r="N282" s="52">
        <v>0</v>
      </c>
      <c r="O282" s="51" t="str">
        <f t="shared" si="32"/>
        <v/>
      </c>
      <c r="P282" s="53" t="str">
        <f t="shared" si="33"/>
        <v/>
      </c>
      <c r="Q282" s="54"/>
    </row>
    <row r="283" spans="1:17" ht="15" customHeight="1" x14ac:dyDescent="0.25">
      <c r="A283" s="184" t="str">
        <f>IF('Controlo de Propinas'!A257="","",'Controlo de Propinas'!A257)</f>
        <v/>
      </c>
      <c r="B283" s="184" t="str">
        <f>IF('Controlo de Propinas'!B257="","",'Controlo de Propinas'!B257)</f>
        <v/>
      </c>
      <c r="C283" s="184" t="str">
        <f>IF('Controlo de Propinas'!C257="","",'Controlo de Propinas'!C257)</f>
        <v/>
      </c>
      <c r="D283" s="51" t="str">
        <f t="shared" si="31"/>
        <v/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1" t="str">
        <f t="shared" si="32"/>
        <v/>
      </c>
      <c r="P283" s="53" t="str">
        <f t="shared" si="33"/>
        <v/>
      </c>
      <c r="Q283" s="54"/>
    </row>
    <row r="284" spans="1:17" ht="15" customHeight="1" x14ac:dyDescent="0.25">
      <c r="A284" s="184" t="str">
        <f>IF('Controlo de Propinas'!A258="","",'Controlo de Propinas'!A258)</f>
        <v/>
      </c>
      <c r="B284" s="184" t="str">
        <f>IF('Controlo de Propinas'!B258="","",'Controlo de Propinas'!B258)</f>
        <v/>
      </c>
      <c r="C284" s="184" t="str">
        <f>IF('Controlo de Propinas'!C258="","",'Controlo de Propinas'!C258)</f>
        <v/>
      </c>
      <c r="D284" s="51" t="str">
        <f t="shared" si="31"/>
        <v/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0</v>
      </c>
      <c r="K284" s="52">
        <v>0</v>
      </c>
      <c r="L284" s="52">
        <v>0</v>
      </c>
      <c r="M284" s="52">
        <v>0</v>
      </c>
      <c r="N284" s="52">
        <v>0</v>
      </c>
      <c r="O284" s="51" t="str">
        <f t="shared" si="32"/>
        <v/>
      </c>
      <c r="P284" s="53" t="str">
        <f t="shared" si="33"/>
        <v/>
      </c>
      <c r="Q284" s="54"/>
    </row>
    <row r="285" spans="1:17" ht="15" customHeight="1" x14ac:dyDescent="0.25">
      <c r="A285" s="184" t="str">
        <f>IF('Controlo de Propinas'!A259="","",'Controlo de Propinas'!A259)</f>
        <v/>
      </c>
      <c r="B285" s="184" t="str">
        <f>IF('Controlo de Propinas'!B259="","",'Controlo de Propinas'!B259)</f>
        <v/>
      </c>
      <c r="C285" s="184" t="str">
        <f>IF('Controlo de Propinas'!C259="","",'Controlo de Propinas'!C259)</f>
        <v/>
      </c>
      <c r="D285" s="51" t="str">
        <f t="shared" si="31"/>
        <v/>
      </c>
      <c r="E285" s="52">
        <v>0</v>
      </c>
      <c r="F285" s="52">
        <v>0</v>
      </c>
      <c r="G285" s="52">
        <v>0</v>
      </c>
      <c r="H285" s="52">
        <v>0</v>
      </c>
      <c r="I285" s="52">
        <v>0</v>
      </c>
      <c r="J285" s="52">
        <v>0</v>
      </c>
      <c r="K285" s="52">
        <v>0</v>
      </c>
      <c r="L285" s="52">
        <v>0</v>
      </c>
      <c r="M285" s="52">
        <v>0</v>
      </c>
      <c r="N285" s="52">
        <v>0</v>
      </c>
      <c r="O285" s="51" t="str">
        <f t="shared" si="32"/>
        <v/>
      </c>
      <c r="P285" s="53" t="str">
        <f t="shared" si="33"/>
        <v/>
      </c>
      <c r="Q285" s="54"/>
    </row>
    <row r="286" spans="1:17" ht="15" customHeight="1" x14ac:dyDescent="0.25">
      <c r="A286" s="184" t="str">
        <f>IF('Controlo de Propinas'!A260="","",'Controlo de Propinas'!A260)</f>
        <v/>
      </c>
      <c r="B286" s="184" t="str">
        <f>IF('Controlo de Propinas'!B260="","",'Controlo de Propinas'!B260)</f>
        <v/>
      </c>
      <c r="C286" s="184" t="str">
        <f>IF('Controlo de Propinas'!C260="","",'Controlo de Propinas'!C260)</f>
        <v/>
      </c>
      <c r="D286" s="51" t="str">
        <f t="shared" si="31"/>
        <v/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0</v>
      </c>
      <c r="O286" s="51" t="str">
        <f t="shared" si="32"/>
        <v/>
      </c>
      <c r="P286" s="53" t="str">
        <f t="shared" si="33"/>
        <v/>
      </c>
      <c r="Q286" s="54"/>
    </row>
    <row r="287" spans="1:17" ht="15" customHeight="1" x14ac:dyDescent="0.25">
      <c r="A287" s="184" t="str">
        <f>IF('Controlo de Propinas'!A261="","",'Controlo de Propinas'!A261)</f>
        <v/>
      </c>
      <c r="B287" s="184" t="str">
        <f>IF('Controlo de Propinas'!B261="","",'Controlo de Propinas'!B261)</f>
        <v/>
      </c>
      <c r="C287" s="184" t="str">
        <f>IF('Controlo de Propinas'!C261="","",'Controlo de Propinas'!C261)</f>
        <v/>
      </c>
      <c r="D287" s="51" t="str">
        <f t="shared" si="31"/>
        <v/>
      </c>
      <c r="E287" s="52">
        <v>0</v>
      </c>
      <c r="F287" s="52">
        <v>0</v>
      </c>
      <c r="G287" s="52">
        <v>0</v>
      </c>
      <c r="H287" s="52">
        <v>0</v>
      </c>
      <c r="I287" s="52">
        <v>0</v>
      </c>
      <c r="J287" s="52">
        <v>0</v>
      </c>
      <c r="K287" s="52">
        <v>0</v>
      </c>
      <c r="L287" s="52">
        <v>0</v>
      </c>
      <c r="M287" s="52">
        <v>0</v>
      </c>
      <c r="N287" s="52">
        <v>0</v>
      </c>
      <c r="O287" s="51" t="str">
        <f t="shared" si="32"/>
        <v/>
      </c>
      <c r="P287" s="53" t="str">
        <f t="shared" si="33"/>
        <v/>
      </c>
      <c r="Q287" s="54"/>
    </row>
    <row r="288" spans="1:17" ht="15" customHeight="1" x14ac:dyDescent="0.25">
      <c r="A288" s="184" t="str">
        <f>IF('Controlo de Propinas'!A262="","",'Controlo de Propinas'!A262)</f>
        <v/>
      </c>
      <c r="B288" s="184" t="str">
        <f>IF('Controlo de Propinas'!B262="","",'Controlo de Propinas'!B262)</f>
        <v/>
      </c>
      <c r="C288" s="184" t="str">
        <f>IF('Controlo de Propinas'!C262="","",'Controlo de Propinas'!C262)</f>
        <v/>
      </c>
      <c r="D288" s="51" t="str">
        <f t="shared" si="31"/>
        <v/>
      </c>
      <c r="E288" s="52">
        <v>0</v>
      </c>
      <c r="F288" s="52">
        <v>0</v>
      </c>
      <c r="G288" s="52">
        <v>0</v>
      </c>
      <c r="H288" s="52">
        <v>0</v>
      </c>
      <c r="I288" s="52">
        <v>0</v>
      </c>
      <c r="J288" s="52">
        <v>0</v>
      </c>
      <c r="K288" s="52">
        <v>0</v>
      </c>
      <c r="L288" s="52">
        <v>0</v>
      </c>
      <c r="M288" s="52">
        <v>0</v>
      </c>
      <c r="N288" s="52">
        <v>0</v>
      </c>
      <c r="O288" s="51" t="str">
        <f t="shared" si="32"/>
        <v/>
      </c>
      <c r="P288" s="53" t="str">
        <f t="shared" si="33"/>
        <v/>
      </c>
      <c r="Q288" s="54"/>
    </row>
    <row r="289" spans="1:17" ht="15" customHeight="1" x14ac:dyDescent="0.25">
      <c r="A289" s="184" t="str">
        <f>IF('Controlo de Propinas'!A263="","",'Controlo de Propinas'!A263)</f>
        <v/>
      </c>
      <c r="B289" s="184" t="str">
        <f>IF('Controlo de Propinas'!B263="","",'Controlo de Propinas'!B263)</f>
        <v/>
      </c>
      <c r="C289" s="184" t="str">
        <f>IF('Controlo de Propinas'!C263="","",'Controlo de Propinas'!C263)</f>
        <v/>
      </c>
      <c r="D289" s="51" t="str">
        <f t="shared" si="31"/>
        <v/>
      </c>
      <c r="E289" s="52">
        <v>0</v>
      </c>
      <c r="F289" s="52">
        <v>0</v>
      </c>
      <c r="G289" s="52">
        <v>0</v>
      </c>
      <c r="H289" s="52">
        <v>0</v>
      </c>
      <c r="I289" s="52">
        <v>0</v>
      </c>
      <c r="J289" s="52">
        <v>0</v>
      </c>
      <c r="K289" s="52">
        <v>0</v>
      </c>
      <c r="L289" s="52">
        <v>0</v>
      </c>
      <c r="M289" s="52">
        <v>0</v>
      </c>
      <c r="N289" s="52">
        <v>0</v>
      </c>
      <c r="O289" s="51" t="str">
        <f t="shared" si="32"/>
        <v/>
      </c>
      <c r="P289" s="53" t="str">
        <f t="shared" si="33"/>
        <v/>
      </c>
      <c r="Q289" s="54"/>
    </row>
    <row r="290" spans="1:17" ht="15" customHeight="1" x14ac:dyDescent="0.25">
      <c r="A290" s="184" t="str">
        <f>IF('Controlo de Propinas'!A264="","",'Controlo de Propinas'!A264)</f>
        <v/>
      </c>
      <c r="B290" s="184" t="str">
        <f>IF('Controlo de Propinas'!B264="","",'Controlo de Propinas'!B264)</f>
        <v/>
      </c>
      <c r="C290" s="184" t="str">
        <f>IF('Controlo de Propinas'!C264="","",'Controlo de Propinas'!C264)</f>
        <v/>
      </c>
      <c r="D290" s="51" t="str">
        <f t="shared" si="31"/>
        <v/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1" t="str">
        <f t="shared" si="32"/>
        <v/>
      </c>
      <c r="P290" s="53" t="str">
        <f t="shared" si="33"/>
        <v/>
      </c>
      <c r="Q290" s="54"/>
    </row>
    <row r="291" spans="1:17" ht="15" customHeight="1" x14ac:dyDescent="0.25">
      <c r="A291" s="184" t="str">
        <f>IF('Controlo de Propinas'!A265="","",'Controlo de Propinas'!A265)</f>
        <v/>
      </c>
      <c r="B291" s="184" t="str">
        <f>IF('Controlo de Propinas'!B265="","",'Controlo de Propinas'!B265)</f>
        <v/>
      </c>
      <c r="C291" s="184" t="str">
        <f>IF('Controlo de Propinas'!C265="","",'Controlo de Propinas'!C265)</f>
        <v/>
      </c>
      <c r="D291" s="51" t="str">
        <f t="shared" si="31"/>
        <v/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0</v>
      </c>
      <c r="N291" s="52">
        <v>0</v>
      </c>
      <c r="O291" s="51" t="str">
        <f t="shared" si="32"/>
        <v/>
      </c>
      <c r="P291" s="53" t="str">
        <f t="shared" si="33"/>
        <v/>
      </c>
      <c r="Q291" s="54"/>
    </row>
    <row r="292" spans="1:17" ht="15" customHeight="1" x14ac:dyDescent="0.25">
      <c r="A292" s="184" t="str">
        <f>IF('Controlo de Propinas'!A266="","",'Controlo de Propinas'!A266)</f>
        <v/>
      </c>
      <c r="B292" s="184" t="str">
        <f>IF('Controlo de Propinas'!B266="","",'Controlo de Propinas'!B266)</f>
        <v/>
      </c>
      <c r="C292" s="184" t="str">
        <f>IF('Controlo de Propinas'!C266="","",'Controlo de Propinas'!C266)</f>
        <v/>
      </c>
      <c r="D292" s="51" t="str">
        <f t="shared" si="31"/>
        <v/>
      </c>
      <c r="E292" s="52">
        <v>0</v>
      </c>
      <c r="F292" s="52">
        <v>0</v>
      </c>
      <c r="G292" s="52">
        <v>0</v>
      </c>
      <c r="H292" s="52">
        <v>0</v>
      </c>
      <c r="I292" s="52">
        <v>0</v>
      </c>
      <c r="J292" s="52">
        <v>0</v>
      </c>
      <c r="K292" s="52">
        <v>0</v>
      </c>
      <c r="L292" s="52">
        <v>0</v>
      </c>
      <c r="M292" s="52">
        <v>0</v>
      </c>
      <c r="N292" s="52">
        <v>0</v>
      </c>
      <c r="O292" s="51" t="str">
        <f t="shared" si="32"/>
        <v/>
      </c>
      <c r="P292" s="53" t="str">
        <f t="shared" si="33"/>
        <v/>
      </c>
      <c r="Q292" s="54"/>
    </row>
    <row r="293" spans="1:17" ht="15" customHeight="1" x14ac:dyDescent="0.25">
      <c r="A293" s="184" t="str">
        <f>IF('Controlo de Propinas'!A267="","",'Controlo de Propinas'!A267)</f>
        <v/>
      </c>
      <c r="B293" s="184" t="str">
        <f>IF('Controlo de Propinas'!B267="","",'Controlo de Propinas'!B267)</f>
        <v/>
      </c>
      <c r="C293" s="184" t="str">
        <f>IF('Controlo de Propinas'!C267="","",'Controlo de Propinas'!C267)</f>
        <v/>
      </c>
      <c r="D293" s="51" t="str">
        <f t="shared" si="31"/>
        <v/>
      </c>
      <c r="E293" s="52">
        <v>0</v>
      </c>
      <c r="F293" s="52">
        <v>0</v>
      </c>
      <c r="G293" s="52">
        <v>0</v>
      </c>
      <c r="H293" s="52">
        <v>0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1" t="str">
        <f t="shared" si="32"/>
        <v/>
      </c>
      <c r="P293" s="53" t="str">
        <f t="shared" si="33"/>
        <v/>
      </c>
      <c r="Q293" s="54"/>
    </row>
    <row r="294" spans="1:17" ht="15" customHeight="1" x14ac:dyDescent="0.25">
      <c r="A294" s="184" t="str">
        <f>IF('Controlo de Propinas'!A268="","",'Controlo de Propinas'!A268)</f>
        <v/>
      </c>
      <c r="B294" s="184" t="str">
        <f>IF('Controlo de Propinas'!B268="","",'Controlo de Propinas'!B268)</f>
        <v/>
      </c>
      <c r="C294" s="184" t="str">
        <f>IF('Controlo de Propinas'!C268="","",'Controlo de Propinas'!C268)</f>
        <v/>
      </c>
      <c r="D294" s="51" t="str">
        <f t="shared" si="31"/>
        <v/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0</v>
      </c>
      <c r="O294" s="51" t="str">
        <f t="shared" si="32"/>
        <v/>
      </c>
      <c r="P294" s="53" t="str">
        <f t="shared" si="33"/>
        <v/>
      </c>
      <c r="Q294" s="54"/>
    </row>
    <row r="295" spans="1:17" ht="15" customHeight="1" x14ac:dyDescent="0.25">
      <c r="A295" s="184" t="str">
        <f>IF('Controlo de Propinas'!A269="","",'Controlo de Propinas'!A269)</f>
        <v/>
      </c>
      <c r="B295" s="184" t="str">
        <f>IF('Controlo de Propinas'!B269="","",'Controlo de Propinas'!B269)</f>
        <v/>
      </c>
      <c r="C295" s="184" t="str">
        <f>IF('Controlo de Propinas'!C269="","",'Controlo de Propinas'!C269)</f>
        <v/>
      </c>
      <c r="D295" s="51" t="str">
        <f t="shared" si="31"/>
        <v/>
      </c>
      <c r="E295" s="52">
        <v>0</v>
      </c>
      <c r="F295" s="52">
        <v>0</v>
      </c>
      <c r="G295" s="52">
        <v>0</v>
      </c>
      <c r="H295" s="52">
        <v>0</v>
      </c>
      <c r="I295" s="52">
        <v>0</v>
      </c>
      <c r="J295" s="52">
        <v>0</v>
      </c>
      <c r="K295" s="52">
        <v>0</v>
      </c>
      <c r="L295" s="52">
        <v>0</v>
      </c>
      <c r="M295" s="52">
        <v>0</v>
      </c>
      <c r="N295" s="52">
        <v>0</v>
      </c>
      <c r="O295" s="51" t="str">
        <f t="shared" si="32"/>
        <v/>
      </c>
      <c r="P295" s="53" t="str">
        <f t="shared" si="33"/>
        <v/>
      </c>
      <c r="Q295" s="54"/>
    </row>
    <row r="296" spans="1:17" ht="15" customHeight="1" x14ac:dyDescent="0.25">
      <c r="A296" s="184" t="str">
        <f>IF('Controlo de Propinas'!A270="","",'Controlo de Propinas'!A270)</f>
        <v/>
      </c>
      <c r="B296" s="184" t="str">
        <f>IF('Controlo de Propinas'!B270="","",'Controlo de Propinas'!B270)</f>
        <v/>
      </c>
      <c r="C296" s="184" t="str">
        <f>IF('Controlo de Propinas'!C270="","",'Controlo de Propinas'!C270)</f>
        <v/>
      </c>
      <c r="D296" s="51" t="str">
        <f t="shared" si="31"/>
        <v/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1" t="str">
        <f t="shared" si="32"/>
        <v/>
      </c>
      <c r="P296" s="53" t="str">
        <f t="shared" si="33"/>
        <v/>
      </c>
      <c r="Q296" s="54"/>
    </row>
    <row r="297" spans="1:17" ht="15" customHeight="1" x14ac:dyDescent="0.25">
      <c r="A297" s="184" t="str">
        <f>IF('Controlo de Propinas'!A271="","",'Controlo de Propinas'!A271)</f>
        <v/>
      </c>
      <c r="B297" s="184" t="str">
        <f>IF('Controlo de Propinas'!B271="","",'Controlo de Propinas'!B271)</f>
        <v/>
      </c>
      <c r="C297" s="184" t="str">
        <f>IF('Controlo de Propinas'!C271="","",'Controlo de Propinas'!C271)</f>
        <v/>
      </c>
      <c r="D297" s="51" t="str">
        <f t="shared" si="31"/>
        <v/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1" t="str">
        <f t="shared" si="32"/>
        <v/>
      </c>
      <c r="P297" s="53" t="str">
        <f t="shared" si="33"/>
        <v/>
      </c>
      <c r="Q297" s="54"/>
    </row>
    <row r="298" spans="1:17" ht="15" customHeight="1" x14ac:dyDescent="0.25">
      <c r="A298" s="184" t="str">
        <f>IF('Controlo de Propinas'!A272="","",'Controlo de Propinas'!A272)</f>
        <v/>
      </c>
      <c r="B298" s="184" t="str">
        <f>IF('Controlo de Propinas'!B272="","",'Controlo de Propinas'!B272)</f>
        <v/>
      </c>
      <c r="C298" s="184" t="str">
        <f>IF('Controlo de Propinas'!C272="","",'Controlo de Propinas'!C272)</f>
        <v/>
      </c>
      <c r="D298" s="51" t="str">
        <f t="shared" si="31"/>
        <v/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1" t="str">
        <f t="shared" si="32"/>
        <v/>
      </c>
      <c r="P298" s="53" t="str">
        <f t="shared" si="33"/>
        <v/>
      </c>
      <c r="Q298" s="54"/>
    </row>
    <row r="299" spans="1:17" ht="15" customHeight="1" x14ac:dyDescent="0.25">
      <c r="A299" s="184" t="str">
        <f>IF('Controlo de Propinas'!A273="","",'Controlo de Propinas'!A273)</f>
        <v/>
      </c>
      <c r="B299" s="184" t="str">
        <f>IF('Controlo de Propinas'!B273="","",'Controlo de Propinas'!B273)</f>
        <v/>
      </c>
      <c r="C299" s="184" t="str">
        <f>IF('Controlo de Propinas'!C273="","",'Controlo de Propinas'!C273)</f>
        <v/>
      </c>
      <c r="D299" s="51" t="str">
        <f t="shared" si="31"/>
        <v/>
      </c>
      <c r="E299" s="52">
        <v>0</v>
      </c>
      <c r="F299" s="52">
        <v>0</v>
      </c>
      <c r="G299" s="52">
        <v>0</v>
      </c>
      <c r="H299" s="52">
        <v>0</v>
      </c>
      <c r="I299" s="52">
        <v>0</v>
      </c>
      <c r="J299" s="52">
        <v>0</v>
      </c>
      <c r="K299" s="52">
        <v>0</v>
      </c>
      <c r="L299" s="52">
        <v>0</v>
      </c>
      <c r="M299" s="52">
        <v>0</v>
      </c>
      <c r="N299" s="52">
        <v>0</v>
      </c>
      <c r="O299" s="51" t="str">
        <f t="shared" si="32"/>
        <v/>
      </c>
      <c r="P299" s="53" t="str">
        <f t="shared" si="33"/>
        <v/>
      </c>
      <c r="Q299" s="54"/>
    </row>
    <row r="300" spans="1:17" ht="15" customHeight="1" x14ac:dyDescent="0.25">
      <c r="A300" s="184" t="str">
        <f>IF('Controlo de Propinas'!A274="","",'Controlo de Propinas'!A274)</f>
        <v/>
      </c>
      <c r="B300" s="184" t="str">
        <f>IF('Controlo de Propinas'!B274="","",'Controlo de Propinas'!B274)</f>
        <v/>
      </c>
      <c r="C300" s="184" t="str">
        <f>IF('Controlo de Propinas'!C274="","",'Controlo de Propinas'!C274)</f>
        <v/>
      </c>
      <c r="D300" s="51" t="str">
        <f t="shared" si="31"/>
        <v/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0</v>
      </c>
      <c r="K300" s="52">
        <v>0</v>
      </c>
      <c r="L300" s="52">
        <v>0</v>
      </c>
      <c r="M300" s="52">
        <v>0</v>
      </c>
      <c r="N300" s="52">
        <v>0</v>
      </c>
      <c r="O300" s="51" t="str">
        <f t="shared" si="32"/>
        <v/>
      </c>
      <c r="P300" s="53" t="str">
        <f t="shared" si="33"/>
        <v/>
      </c>
      <c r="Q300" s="54"/>
    </row>
    <row r="301" spans="1:17" ht="15" customHeight="1" x14ac:dyDescent="0.25">
      <c r="A301" s="184" t="str">
        <f>IF('Controlo de Propinas'!A275="","",'Controlo de Propinas'!A275)</f>
        <v/>
      </c>
      <c r="B301" s="184" t="str">
        <f>IF('Controlo de Propinas'!B275="","",'Controlo de Propinas'!B275)</f>
        <v/>
      </c>
      <c r="C301" s="184" t="str">
        <f>IF('Controlo de Propinas'!C275="","",'Controlo de Propinas'!C275)</f>
        <v/>
      </c>
      <c r="D301" s="51" t="str">
        <f t="shared" si="31"/>
        <v/>
      </c>
      <c r="E301" s="52">
        <v>0</v>
      </c>
      <c r="F301" s="52">
        <v>0</v>
      </c>
      <c r="G301" s="52">
        <v>0</v>
      </c>
      <c r="H301" s="52">
        <v>0</v>
      </c>
      <c r="I301" s="52">
        <v>0</v>
      </c>
      <c r="J301" s="52">
        <v>0</v>
      </c>
      <c r="K301" s="52">
        <v>0</v>
      </c>
      <c r="L301" s="52">
        <v>0</v>
      </c>
      <c r="M301" s="52">
        <v>0</v>
      </c>
      <c r="N301" s="52">
        <v>0</v>
      </c>
      <c r="O301" s="51" t="str">
        <f t="shared" si="32"/>
        <v/>
      </c>
      <c r="P301" s="53" t="str">
        <f t="shared" si="33"/>
        <v/>
      </c>
      <c r="Q301" s="54"/>
    </row>
    <row r="302" spans="1:17" ht="15" customHeight="1" x14ac:dyDescent="0.25">
      <c r="A302" s="184" t="str">
        <f>IF('Controlo de Propinas'!A276="","",'Controlo de Propinas'!A276)</f>
        <v/>
      </c>
      <c r="B302" s="184" t="str">
        <f>IF('Controlo de Propinas'!B276="","",'Controlo de Propinas'!B276)</f>
        <v/>
      </c>
      <c r="C302" s="184" t="str">
        <f>IF('Controlo de Propinas'!C276="","",'Controlo de Propinas'!C276)</f>
        <v/>
      </c>
      <c r="D302" s="51" t="str">
        <f t="shared" si="31"/>
        <v/>
      </c>
      <c r="E302" s="52">
        <v>0</v>
      </c>
      <c r="F302" s="52">
        <v>0</v>
      </c>
      <c r="G302" s="52">
        <v>0</v>
      </c>
      <c r="H302" s="52">
        <v>0</v>
      </c>
      <c r="I302" s="52">
        <v>0</v>
      </c>
      <c r="J302" s="52">
        <v>0</v>
      </c>
      <c r="K302" s="52">
        <v>0</v>
      </c>
      <c r="L302" s="52">
        <v>0</v>
      </c>
      <c r="M302" s="52">
        <v>0</v>
      </c>
      <c r="N302" s="52">
        <v>0</v>
      </c>
      <c r="O302" s="51" t="str">
        <f t="shared" si="32"/>
        <v/>
      </c>
      <c r="P302" s="53" t="str">
        <f t="shared" si="33"/>
        <v/>
      </c>
      <c r="Q302" s="54"/>
    </row>
    <row r="303" spans="1:17" ht="15" customHeight="1" x14ac:dyDescent="0.25">
      <c r="A303" s="184" t="str">
        <f>IF('Controlo de Propinas'!A277="","",'Controlo de Propinas'!A277)</f>
        <v/>
      </c>
      <c r="B303" s="184" t="str">
        <f>IF('Controlo de Propinas'!B277="","",'Controlo de Propinas'!B277)</f>
        <v/>
      </c>
      <c r="C303" s="184" t="str">
        <f>IF('Controlo de Propinas'!C277="","",'Controlo de Propinas'!C277)</f>
        <v/>
      </c>
      <c r="D303" s="51" t="str">
        <f t="shared" si="31"/>
        <v/>
      </c>
      <c r="E303" s="52">
        <v>0</v>
      </c>
      <c r="F303" s="52">
        <v>0</v>
      </c>
      <c r="G303" s="52">
        <v>0</v>
      </c>
      <c r="H303" s="52">
        <v>0</v>
      </c>
      <c r="I303" s="52">
        <v>0</v>
      </c>
      <c r="J303" s="52">
        <v>0</v>
      </c>
      <c r="K303" s="52">
        <v>0</v>
      </c>
      <c r="L303" s="52">
        <v>0</v>
      </c>
      <c r="M303" s="52">
        <v>0</v>
      </c>
      <c r="N303" s="52">
        <v>0</v>
      </c>
      <c r="O303" s="51" t="str">
        <f t="shared" si="32"/>
        <v/>
      </c>
      <c r="P303" s="53" t="str">
        <f t="shared" si="33"/>
        <v/>
      </c>
      <c r="Q303" s="54"/>
    </row>
    <row r="304" spans="1:17" ht="15" customHeight="1" x14ac:dyDescent="0.25">
      <c r="A304" s="184" t="str">
        <f>IF('Controlo de Propinas'!A278="","",'Controlo de Propinas'!A278)</f>
        <v/>
      </c>
      <c r="B304" s="184" t="str">
        <f>IF('Controlo de Propinas'!B278="","",'Controlo de Propinas'!B278)</f>
        <v/>
      </c>
      <c r="C304" s="184" t="str">
        <f>IF('Controlo de Propinas'!C278="","",'Controlo de Propinas'!C278)</f>
        <v/>
      </c>
      <c r="D304" s="51" t="str">
        <f t="shared" si="31"/>
        <v/>
      </c>
      <c r="E304" s="52">
        <v>0</v>
      </c>
      <c r="F304" s="52">
        <v>0</v>
      </c>
      <c r="G304" s="52">
        <v>0</v>
      </c>
      <c r="H304" s="52">
        <v>0</v>
      </c>
      <c r="I304" s="52">
        <v>0</v>
      </c>
      <c r="J304" s="52">
        <v>0</v>
      </c>
      <c r="K304" s="52">
        <v>0</v>
      </c>
      <c r="L304" s="52">
        <v>0</v>
      </c>
      <c r="M304" s="52">
        <v>0</v>
      </c>
      <c r="N304" s="52">
        <v>0</v>
      </c>
      <c r="O304" s="51" t="str">
        <f t="shared" si="32"/>
        <v/>
      </c>
      <c r="P304" s="53" t="str">
        <f t="shared" si="33"/>
        <v/>
      </c>
      <c r="Q304" s="54"/>
    </row>
    <row r="305" spans="1:17" ht="15" customHeight="1" x14ac:dyDescent="0.25">
      <c r="A305" s="184" t="str">
        <f>IF('Controlo de Propinas'!A279="","",'Controlo de Propinas'!A279)</f>
        <v/>
      </c>
      <c r="B305" s="184" t="str">
        <f>IF('Controlo de Propinas'!B279="","",'Controlo de Propinas'!B279)</f>
        <v/>
      </c>
      <c r="C305" s="184" t="str">
        <f>IF('Controlo de Propinas'!C279="","",'Controlo de Propinas'!C279)</f>
        <v/>
      </c>
      <c r="D305" s="51" t="str">
        <f t="shared" si="31"/>
        <v/>
      </c>
      <c r="E305" s="52">
        <v>0</v>
      </c>
      <c r="F305" s="52">
        <v>0</v>
      </c>
      <c r="G305" s="52">
        <v>0</v>
      </c>
      <c r="H305" s="52">
        <v>0</v>
      </c>
      <c r="I305" s="52">
        <v>0</v>
      </c>
      <c r="J305" s="52">
        <v>0</v>
      </c>
      <c r="K305" s="52">
        <v>0</v>
      </c>
      <c r="L305" s="52">
        <v>0</v>
      </c>
      <c r="M305" s="52">
        <v>0</v>
      </c>
      <c r="N305" s="52">
        <v>0</v>
      </c>
      <c r="O305" s="51" t="str">
        <f t="shared" si="32"/>
        <v/>
      </c>
      <c r="P305" s="53" t="str">
        <f t="shared" si="33"/>
        <v/>
      </c>
      <c r="Q305" s="54"/>
    </row>
    <row r="306" spans="1:17" ht="15" customHeight="1" x14ac:dyDescent="0.25">
      <c r="A306" s="184" t="str">
        <f>IF('Controlo de Propinas'!A280="","",'Controlo de Propinas'!A280)</f>
        <v/>
      </c>
      <c r="B306" s="184" t="str">
        <f>IF('Controlo de Propinas'!B280="","",'Controlo de Propinas'!B280)</f>
        <v/>
      </c>
      <c r="C306" s="184" t="str">
        <f>IF('Controlo de Propinas'!C280="","",'Controlo de Propinas'!C280)</f>
        <v/>
      </c>
      <c r="D306" s="51" t="str">
        <f t="shared" si="31"/>
        <v/>
      </c>
      <c r="E306" s="52">
        <v>0</v>
      </c>
      <c r="F306" s="52">
        <v>0</v>
      </c>
      <c r="G306" s="52">
        <v>0</v>
      </c>
      <c r="H306" s="52">
        <v>0</v>
      </c>
      <c r="I306" s="52">
        <v>0</v>
      </c>
      <c r="J306" s="52">
        <v>0</v>
      </c>
      <c r="K306" s="52">
        <v>0</v>
      </c>
      <c r="L306" s="52">
        <v>0</v>
      </c>
      <c r="M306" s="52">
        <v>0</v>
      </c>
      <c r="N306" s="52">
        <v>0</v>
      </c>
      <c r="O306" s="51" t="str">
        <f t="shared" si="32"/>
        <v/>
      </c>
      <c r="P306" s="53" t="str">
        <f t="shared" si="33"/>
        <v/>
      </c>
      <c r="Q306" s="54"/>
    </row>
    <row r="307" spans="1:17" ht="15" customHeight="1" x14ac:dyDescent="0.25">
      <c r="A307" s="184" t="str">
        <f>IF('Controlo de Propinas'!A281="","",'Controlo de Propinas'!A281)</f>
        <v/>
      </c>
      <c r="B307" s="184" t="str">
        <f>IF('Controlo de Propinas'!B281="","",'Controlo de Propinas'!B281)</f>
        <v/>
      </c>
      <c r="C307" s="184" t="str">
        <f>IF('Controlo de Propinas'!C281="","",'Controlo de Propinas'!C281)</f>
        <v/>
      </c>
      <c r="D307" s="51" t="str">
        <f t="shared" si="31"/>
        <v/>
      </c>
      <c r="E307" s="52">
        <v>0</v>
      </c>
      <c r="F307" s="52">
        <v>0</v>
      </c>
      <c r="G307" s="52">
        <v>0</v>
      </c>
      <c r="H307" s="52">
        <v>0</v>
      </c>
      <c r="I307" s="52">
        <v>0</v>
      </c>
      <c r="J307" s="52">
        <v>0</v>
      </c>
      <c r="K307" s="52">
        <v>0</v>
      </c>
      <c r="L307" s="52">
        <v>0</v>
      </c>
      <c r="M307" s="52">
        <v>0</v>
      </c>
      <c r="N307" s="52">
        <v>0</v>
      </c>
      <c r="O307" s="51" t="str">
        <f t="shared" si="32"/>
        <v/>
      </c>
      <c r="P307" s="53" t="str">
        <f t="shared" si="33"/>
        <v/>
      </c>
      <c r="Q307" s="54"/>
    </row>
    <row r="308" spans="1:17" ht="15" customHeight="1" x14ac:dyDescent="0.25">
      <c r="A308" s="184" t="str">
        <f>IF('Controlo de Propinas'!A282="","",'Controlo de Propinas'!A282)</f>
        <v/>
      </c>
      <c r="B308" s="184" t="str">
        <f>IF('Controlo de Propinas'!B282="","",'Controlo de Propinas'!B282)</f>
        <v/>
      </c>
      <c r="C308" s="184" t="str">
        <f>IF('Controlo de Propinas'!C282="","",'Controlo de Propinas'!C282)</f>
        <v/>
      </c>
      <c r="D308" s="51" t="str">
        <f t="shared" si="31"/>
        <v/>
      </c>
      <c r="E308" s="52">
        <v>0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2">
        <v>0</v>
      </c>
      <c r="L308" s="52">
        <v>0</v>
      </c>
      <c r="M308" s="52">
        <v>0</v>
      </c>
      <c r="N308" s="52">
        <v>0</v>
      </c>
      <c r="O308" s="51" t="str">
        <f t="shared" si="32"/>
        <v/>
      </c>
      <c r="P308" s="53" t="str">
        <f t="shared" si="33"/>
        <v/>
      </c>
      <c r="Q308" s="54"/>
    </row>
    <row r="309" spans="1:17" ht="15" customHeight="1" x14ac:dyDescent="0.25">
      <c r="A309" s="184" t="str">
        <f>IF('Controlo de Propinas'!A283="","",'Controlo de Propinas'!A283)</f>
        <v/>
      </c>
      <c r="B309" s="184" t="str">
        <f>IF('Controlo de Propinas'!B283="","",'Controlo de Propinas'!B283)</f>
        <v/>
      </c>
      <c r="C309" s="184" t="str">
        <f>IF('Controlo de Propinas'!C283="","",'Controlo de Propinas'!C283)</f>
        <v/>
      </c>
      <c r="D309" s="51" t="str">
        <f t="shared" si="31"/>
        <v/>
      </c>
      <c r="E309" s="52">
        <v>0</v>
      </c>
      <c r="F309" s="52">
        <v>0</v>
      </c>
      <c r="G309" s="52">
        <v>0</v>
      </c>
      <c r="H309" s="52">
        <v>0</v>
      </c>
      <c r="I309" s="52">
        <v>0</v>
      </c>
      <c r="J309" s="52">
        <v>0</v>
      </c>
      <c r="K309" s="52">
        <v>0</v>
      </c>
      <c r="L309" s="52">
        <v>0</v>
      </c>
      <c r="M309" s="52">
        <v>0</v>
      </c>
      <c r="N309" s="52">
        <v>0</v>
      </c>
      <c r="O309" s="51" t="str">
        <f t="shared" si="32"/>
        <v/>
      </c>
      <c r="P309" s="53" t="str">
        <f t="shared" si="33"/>
        <v/>
      </c>
      <c r="Q309" s="54"/>
    </row>
    <row r="310" spans="1:17" ht="15" customHeight="1" x14ac:dyDescent="0.25">
      <c r="A310" s="184" t="str">
        <f>IF('Controlo de Propinas'!A284="","",'Controlo de Propinas'!A284)</f>
        <v/>
      </c>
      <c r="B310" s="184" t="str">
        <f>IF('Controlo de Propinas'!B284="","",'Controlo de Propinas'!B284)</f>
        <v/>
      </c>
      <c r="C310" s="184" t="str">
        <f>IF('Controlo de Propinas'!C284="","",'Controlo de Propinas'!C284)</f>
        <v/>
      </c>
      <c r="D310" s="51" t="str">
        <f t="shared" si="31"/>
        <v/>
      </c>
      <c r="E310" s="52">
        <v>0</v>
      </c>
      <c r="F310" s="52">
        <v>0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2">
        <v>0</v>
      </c>
      <c r="M310" s="52">
        <v>0</v>
      </c>
      <c r="N310" s="52">
        <v>0</v>
      </c>
      <c r="O310" s="51" t="str">
        <f t="shared" si="32"/>
        <v/>
      </c>
      <c r="P310" s="53" t="str">
        <f t="shared" si="33"/>
        <v/>
      </c>
      <c r="Q310" s="54"/>
    </row>
    <row r="311" spans="1:17" ht="15" customHeight="1" x14ac:dyDescent="0.25">
      <c r="A311" s="184" t="str">
        <f>IF('Controlo de Propinas'!A285="","",'Controlo de Propinas'!A285)</f>
        <v/>
      </c>
      <c r="B311" s="184" t="str">
        <f>IF('Controlo de Propinas'!B285="","",'Controlo de Propinas'!B285)</f>
        <v/>
      </c>
      <c r="C311" s="184" t="str">
        <f>IF('Controlo de Propinas'!C285="","",'Controlo de Propinas'!C285)</f>
        <v/>
      </c>
      <c r="D311" s="51" t="str">
        <f t="shared" si="31"/>
        <v/>
      </c>
      <c r="E311" s="52">
        <v>0</v>
      </c>
      <c r="F311" s="52">
        <v>0</v>
      </c>
      <c r="G311" s="52">
        <v>0</v>
      </c>
      <c r="H311" s="52">
        <v>0</v>
      </c>
      <c r="I311" s="52">
        <v>0</v>
      </c>
      <c r="J311" s="52">
        <v>0</v>
      </c>
      <c r="K311" s="52">
        <v>0</v>
      </c>
      <c r="L311" s="52">
        <v>0</v>
      </c>
      <c r="M311" s="52">
        <v>0</v>
      </c>
      <c r="N311" s="52">
        <v>0</v>
      </c>
      <c r="O311" s="51">
        <f t="shared" ref="O311:O342" si="34">IF(B275="","",SUM(E275:N275))</f>
        <v>0</v>
      </c>
      <c r="P311" s="53" t="e">
        <f t="shared" ref="P311:P342" si="35">IF(B275="","",IF(O275=0,"Pendente",IF(O275&lt;D275,"Parcial","Pago")))</f>
        <v>#REF!</v>
      </c>
      <c r="Q311" s="54"/>
    </row>
    <row r="312" spans="1:17" ht="15" customHeight="1" x14ac:dyDescent="0.25">
      <c r="A312" s="184" t="str">
        <f>IF('Controlo de Propinas'!A286="","",'Controlo de Propinas'!A286)</f>
        <v/>
      </c>
      <c r="B312" s="184" t="str">
        <f>IF('Controlo de Propinas'!B286="","",'Controlo de Propinas'!B286)</f>
        <v/>
      </c>
      <c r="C312" s="184" t="str">
        <f>IF('Controlo de Propinas'!C286="","",'Controlo de Propinas'!C286)</f>
        <v/>
      </c>
      <c r="D312" s="51" t="str">
        <f t="shared" si="31"/>
        <v/>
      </c>
      <c r="E312" s="52">
        <v>0</v>
      </c>
      <c r="F312" s="52">
        <v>0</v>
      </c>
      <c r="G312" s="52">
        <v>0</v>
      </c>
      <c r="H312" s="52">
        <v>0</v>
      </c>
      <c r="I312" s="52">
        <v>0</v>
      </c>
      <c r="J312" s="52">
        <v>0</v>
      </c>
      <c r="K312" s="52">
        <v>0</v>
      </c>
      <c r="L312" s="52">
        <v>0</v>
      </c>
      <c r="M312" s="52">
        <v>0</v>
      </c>
      <c r="N312" s="52">
        <v>0</v>
      </c>
      <c r="O312" s="51" t="str">
        <f t="shared" si="34"/>
        <v/>
      </c>
      <c r="P312" s="53" t="str">
        <f t="shared" si="35"/>
        <v/>
      </c>
      <c r="Q312" s="54"/>
    </row>
    <row r="313" spans="1:17" ht="15" customHeight="1" x14ac:dyDescent="0.25">
      <c r="A313" s="184" t="str">
        <f>IF('Controlo de Propinas'!A287="","",'Controlo de Propinas'!A287)</f>
        <v/>
      </c>
      <c r="B313" s="184" t="str">
        <f>IF('Controlo de Propinas'!B287="","",'Controlo de Propinas'!B287)</f>
        <v/>
      </c>
      <c r="C313" s="184" t="str">
        <f>IF('Controlo de Propinas'!C287="","",'Controlo de Propinas'!C287)</f>
        <v/>
      </c>
      <c r="D313" s="51" t="str">
        <f t="shared" si="31"/>
        <v/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0</v>
      </c>
      <c r="M313" s="52">
        <v>0</v>
      </c>
      <c r="N313" s="52">
        <v>0</v>
      </c>
      <c r="O313" s="51" t="str">
        <f t="shared" si="34"/>
        <v/>
      </c>
      <c r="P313" s="53" t="str">
        <f t="shared" si="35"/>
        <v/>
      </c>
      <c r="Q313" s="54"/>
    </row>
    <row r="314" spans="1:17" ht="15" customHeight="1" x14ac:dyDescent="0.25">
      <c r="A314" s="184" t="str">
        <f>IF('Controlo de Propinas'!A288="","",'Controlo de Propinas'!A288)</f>
        <v/>
      </c>
      <c r="B314" s="184" t="str">
        <f>IF('Controlo de Propinas'!B288="","",'Controlo de Propinas'!B288)</f>
        <v/>
      </c>
      <c r="C314" s="184" t="str">
        <f>IF('Controlo de Propinas'!C288="","",'Controlo de Propinas'!C288)</f>
        <v/>
      </c>
      <c r="D314" s="51">
        <f t="shared" si="31"/>
        <v>170000</v>
      </c>
      <c r="E314" s="52">
        <v>0</v>
      </c>
      <c r="F314" s="52">
        <v>0</v>
      </c>
      <c r="G314" s="52">
        <v>0</v>
      </c>
      <c r="H314" s="52">
        <v>0</v>
      </c>
      <c r="I314" s="52">
        <v>0</v>
      </c>
      <c r="J314" s="52">
        <v>0</v>
      </c>
      <c r="K314" s="52">
        <v>0</v>
      </c>
      <c r="L314" s="52">
        <v>0</v>
      </c>
      <c r="M314" s="52">
        <v>0</v>
      </c>
      <c r="N314" s="52">
        <v>0</v>
      </c>
      <c r="O314" s="51">
        <f t="shared" si="34"/>
        <v>0</v>
      </c>
      <c r="P314" s="53" t="str">
        <f t="shared" si="35"/>
        <v>Pago</v>
      </c>
      <c r="Q314" s="54"/>
    </row>
    <row r="315" spans="1:17" ht="15" customHeight="1" x14ac:dyDescent="0.25">
      <c r="A315" s="184" t="str">
        <f>IF('Controlo de Propinas'!A289="","",'Controlo de Propinas'!A289)</f>
        <v/>
      </c>
      <c r="B315" s="184" t="str">
        <f>IF('Controlo de Propinas'!B289="","",'Controlo de Propinas'!B289)</f>
        <v/>
      </c>
      <c r="C315" s="184" t="str">
        <f>IF('Controlo de Propinas'!C289="","",'Controlo de Propinas'!C289)</f>
        <v/>
      </c>
      <c r="D315" s="51">
        <f t="shared" si="31"/>
        <v>170000</v>
      </c>
      <c r="E315" s="52">
        <v>0</v>
      </c>
      <c r="F315" s="52">
        <v>0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1">
        <f t="shared" si="34"/>
        <v>0</v>
      </c>
      <c r="P315" s="53" t="str">
        <f t="shared" si="35"/>
        <v>Pago</v>
      </c>
      <c r="Q315" s="54"/>
    </row>
    <row r="316" spans="1:17" ht="15" customHeight="1" x14ac:dyDescent="0.25">
      <c r="A316" s="184" t="str">
        <f>IF('Controlo de Propinas'!A290="","",'Controlo de Propinas'!A290)</f>
        <v/>
      </c>
      <c r="B316" s="184" t="str">
        <f>IF('Controlo de Propinas'!B290="","",'Controlo de Propinas'!B290)</f>
        <v/>
      </c>
      <c r="C316" s="184" t="str">
        <f>IF('Controlo de Propinas'!C290="","",'Controlo de Propinas'!C290)</f>
        <v/>
      </c>
      <c r="D316" s="51" t="str">
        <f t="shared" si="31"/>
        <v/>
      </c>
      <c r="E316" s="52">
        <v>0</v>
      </c>
      <c r="F316" s="52">
        <v>0</v>
      </c>
      <c r="G316" s="52">
        <v>0</v>
      </c>
      <c r="H316" s="52">
        <v>0</v>
      </c>
      <c r="I316" s="52">
        <v>0</v>
      </c>
      <c r="J316" s="52">
        <v>0</v>
      </c>
      <c r="K316" s="52">
        <v>0</v>
      </c>
      <c r="L316" s="52">
        <v>0</v>
      </c>
      <c r="M316" s="52">
        <v>0</v>
      </c>
      <c r="N316" s="52">
        <v>0</v>
      </c>
      <c r="O316" s="51" t="str">
        <f t="shared" si="34"/>
        <v/>
      </c>
      <c r="P316" s="53" t="str">
        <f t="shared" si="35"/>
        <v/>
      </c>
      <c r="Q316" s="54"/>
    </row>
    <row r="317" spans="1:17" ht="15" customHeight="1" x14ac:dyDescent="0.25">
      <c r="A317" s="184" t="str">
        <f>IF('Controlo de Propinas'!A291="","",'Controlo de Propinas'!A291)</f>
        <v/>
      </c>
      <c r="B317" s="184" t="str">
        <f>IF('Controlo de Propinas'!B291="","",'Controlo de Propinas'!B291)</f>
        <v/>
      </c>
      <c r="C317" s="184" t="str">
        <f>IF('Controlo de Propinas'!C291="","",'Controlo de Propinas'!C291)</f>
        <v/>
      </c>
      <c r="D317" s="51" t="str">
        <f t="shared" si="31"/>
        <v/>
      </c>
      <c r="E317" s="52">
        <v>0</v>
      </c>
      <c r="F317" s="52">
        <v>0</v>
      </c>
      <c r="G317" s="52">
        <v>0</v>
      </c>
      <c r="H317" s="52">
        <v>0</v>
      </c>
      <c r="I317" s="52">
        <v>0</v>
      </c>
      <c r="J317" s="52">
        <v>0</v>
      </c>
      <c r="K317" s="52">
        <v>0</v>
      </c>
      <c r="L317" s="52">
        <v>0</v>
      </c>
      <c r="M317" s="52">
        <v>0</v>
      </c>
      <c r="N317" s="52">
        <v>0</v>
      </c>
      <c r="O317" s="51" t="str">
        <f t="shared" si="34"/>
        <v/>
      </c>
      <c r="P317" s="53" t="str">
        <f t="shared" si="35"/>
        <v/>
      </c>
      <c r="Q317" s="54"/>
    </row>
    <row r="318" spans="1:17" ht="15" customHeight="1" x14ac:dyDescent="0.25">
      <c r="A318" s="184" t="str">
        <f>IF('Controlo de Propinas'!A292="","",'Controlo de Propinas'!A292)</f>
        <v/>
      </c>
      <c r="B318" s="184" t="str">
        <f>IF('Controlo de Propinas'!B292="","",'Controlo de Propinas'!B292)</f>
        <v/>
      </c>
      <c r="C318" s="184" t="str">
        <f>IF('Controlo de Propinas'!C292="","",'Controlo de Propinas'!C292)</f>
        <v/>
      </c>
      <c r="D318" s="51" t="str">
        <f t="shared" si="31"/>
        <v/>
      </c>
      <c r="E318" s="52">
        <v>0</v>
      </c>
      <c r="F318" s="52">
        <v>0</v>
      </c>
      <c r="G318" s="52">
        <v>0</v>
      </c>
      <c r="H318" s="52">
        <v>0</v>
      </c>
      <c r="I318" s="52">
        <v>0</v>
      </c>
      <c r="J318" s="52">
        <v>0</v>
      </c>
      <c r="K318" s="52">
        <v>0</v>
      </c>
      <c r="L318" s="52">
        <v>0</v>
      </c>
      <c r="M318" s="52">
        <v>0</v>
      </c>
      <c r="N318" s="52">
        <v>0</v>
      </c>
      <c r="O318" s="51" t="str">
        <f t="shared" si="34"/>
        <v/>
      </c>
      <c r="P318" s="53" t="str">
        <f t="shared" si="35"/>
        <v/>
      </c>
      <c r="Q318" s="54"/>
    </row>
    <row r="319" spans="1:17" x14ac:dyDescent="0.25">
      <c r="A319" s="184"/>
      <c r="B319" s="184"/>
      <c r="C319" s="184"/>
      <c r="D319" s="184"/>
      <c r="E319" s="52">
        <v>0</v>
      </c>
      <c r="F319" s="52">
        <v>0</v>
      </c>
      <c r="G319" s="52">
        <v>0</v>
      </c>
      <c r="H319" s="52">
        <v>0</v>
      </c>
      <c r="I319" s="52">
        <v>0</v>
      </c>
      <c r="J319" s="52">
        <v>0</v>
      </c>
      <c r="K319" s="52">
        <v>0</v>
      </c>
      <c r="L319" s="52">
        <v>0</v>
      </c>
      <c r="M319" s="52">
        <v>0</v>
      </c>
      <c r="N319" s="52">
        <v>0</v>
      </c>
      <c r="O319" s="51" t="str">
        <f t="shared" si="34"/>
        <v/>
      </c>
      <c r="P319" s="53" t="str">
        <f t="shared" si="35"/>
        <v/>
      </c>
      <c r="Q319" s="54"/>
    </row>
    <row r="320" spans="1:17" ht="15" customHeight="1" x14ac:dyDescent="0.25">
      <c r="A320" s="184"/>
      <c r="B320" s="184"/>
      <c r="C320" s="184"/>
      <c r="D320" s="184"/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0</v>
      </c>
      <c r="N320" s="52">
        <v>0</v>
      </c>
      <c r="O320" s="51" t="str">
        <f t="shared" si="34"/>
        <v/>
      </c>
      <c r="P320" s="53" t="str">
        <f t="shared" si="35"/>
        <v/>
      </c>
      <c r="Q320" s="54"/>
    </row>
    <row r="321" spans="1:17" x14ac:dyDescent="0.25">
      <c r="A321" s="184"/>
      <c r="B321" s="184"/>
      <c r="C321" s="184"/>
      <c r="D321" s="184"/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1" t="str">
        <f t="shared" si="34"/>
        <v/>
      </c>
      <c r="P321" s="53" t="str">
        <f t="shared" si="35"/>
        <v/>
      </c>
      <c r="Q321" s="54"/>
    </row>
    <row r="322" spans="1:17" x14ac:dyDescent="0.25">
      <c r="A322" s="184"/>
      <c r="B322" s="184"/>
      <c r="C322" s="184"/>
      <c r="D322" s="184"/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0</v>
      </c>
      <c r="K322" s="52">
        <v>0</v>
      </c>
      <c r="L322" s="52">
        <v>0</v>
      </c>
      <c r="M322" s="52">
        <v>0</v>
      </c>
      <c r="N322" s="52">
        <v>0</v>
      </c>
      <c r="O322" s="51" t="str">
        <f t="shared" si="34"/>
        <v/>
      </c>
      <c r="P322" s="53" t="str">
        <f t="shared" si="35"/>
        <v/>
      </c>
      <c r="Q322" s="54"/>
    </row>
    <row r="323" spans="1:17" x14ac:dyDescent="0.25">
      <c r="A323" s="184"/>
      <c r="B323" s="184"/>
      <c r="C323" s="184"/>
      <c r="D323" s="184"/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0</v>
      </c>
      <c r="M323" s="52">
        <v>0</v>
      </c>
      <c r="N323" s="52">
        <v>0</v>
      </c>
      <c r="O323" s="51" t="str">
        <f t="shared" si="34"/>
        <v/>
      </c>
      <c r="P323" s="53" t="str">
        <f t="shared" si="35"/>
        <v/>
      </c>
      <c r="Q323" s="54"/>
    </row>
    <row r="324" spans="1:17" x14ac:dyDescent="0.25">
      <c r="A324" s="184"/>
      <c r="B324" s="184"/>
      <c r="C324" s="184"/>
      <c r="D324" s="184"/>
      <c r="E324" s="52">
        <v>0</v>
      </c>
      <c r="F324" s="52">
        <v>0</v>
      </c>
      <c r="G324" s="52">
        <v>0</v>
      </c>
      <c r="H324" s="52">
        <v>0</v>
      </c>
      <c r="I324" s="52">
        <v>0</v>
      </c>
      <c r="J324" s="52">
        <v>0</v>
      </c>
      <c r="K324" s="52">
        <v>0</v>
      </c>
      <c r="L324" s="52">
        <v>0</v>
      </c>
      <c r="M324" s="52">
        <v>0</v>
      </c>
      <c r="N324" s="52">
        <v>0</v>
      </c>
      <c r="O324" s="51" t="str">
        <f t="shared" si="34"/>
        <v/>
      </c>
      <c r="P324" s="53" t="str">
        <f t="shared" si="35"/>
        <v/>
      </c>
      <c r="Q324" s="54"/>
    </row>
    <row r="325" spans="1:17" x14ac:dyDescent="0.25">
      <c r="A325" s="184"/>
      <c r="B325" s="184"/>
      <c r="C325" s="184"/>
      <c r="D325" s="184"/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0</v>
      </c>
      <c r="K325" s="52">
        <v>0</v>
      </c>
      <c r="L325" s="52">
        <v>0</v>
      </c>
      <c r="M325" s="52">
        <v>0</v>
      </c>
      <c r="N325" s="52">
        <v>0</v>
      </c>
      <c r="O325" s="51" t="str">
        <f t="shared" si="34"/>
        <v/>
      </c>
      <c r="P325" s="53" t="str">
        <f t="shared" si="35"/>
        <v/>
      </c>
      <c r="Q325" s="54"/>
    </row>
    <row r="326" spans="1:17" x14ac:dyDescent="0.25">
      <c r="A326" s="184"/>
      <c r="B326" s="184"/>
      <c r="C326" s="184"/>
      <c r="D326" s="184"/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2">
        <v>0</v>
      </c>
      <c r="L326" s="52">
        <v>0</v>
      </c>
      <c r="M326" s="52">
        <v>0</v>
      </c>
      <c r="N326" s="52">
        <v>0</v>
      </c>
      <c r="O326" s="51" t="str">
        <f t="shared" si="34"/>
        <v/>
      </c>
      <c r="P326" s="53" t="str">
        <f t="shared" si="35"/>
        <v/>
      </c>
      <c r="Q326" s="54"/>
    </row>
    <row r="327" spans="1:17" x14ac:dyDescent="0.25">
      <c r="A327" s="184"/>
      <c r="B327" s="184"/>
      <c r="C327" s="184"/>
      <c r="D327" s="184"/>
      <c r="E327" s="52">
        <v>0</v>
      </c>
      <c r="F327" s="52">
        <v>0</v>
      </c>
      <c r="G327" s="52">
        <v>0</v>
      </c>
      <c r="H327" s="52">
        <v>0</v>
      </c>
      <c r="I327" s="52">
        <v>0</v>
      </c>
      <c r="J327" s="52">
        <v>0</v>
      </c>
      <c r="K327" s="52">
        <v>0</v>
      </c>
      <c r="L327" s="52">
        <v>0</v>
      </c>
      <c r="M327" s="52">
        <v>0</v>
      </c>
      <c r="N327" s="52">
        <v>0</v>
      </c>
      <c r="O327" s="51" t="str">
        <f t="shared" si="34"/>
        <v/>
      </c>
      <c r="P327" s="53" t="str">
        <f t="shared" si="35"/>
        <v/>
      </c>
      <c r="Q327" s="54"/>
    </row>
    <row r="328" spans="1:17" x14ac:dyDescent="0.25">
      <c r="A328" s="184"/>
      <c r="B328" s="184"/>
      <c r="C328" s="184"/>
      <c r="D328" s="184"/>
      <c r="E328" s="52">
        <v>0</v>
      </c>
      <c r="F328" s="52">
        <v>0</v>
      </c>
      <c r="G328" s="52">
        <v>0</v>
      </c>
      <c r="H328" s="52">
        <v>0</v>
      </c>
      <c r="I328" s="52">
        <v>0</v>
      </c>
      <c r="J328" s="52">
        <v>0</v>
      </c>
      <c r="K328" s="52">
        <v>0</v>
      </c>
      <c r="L328" s="52">
        <v>0</v>
      </c>
      <c r="M328" s="52">
        <v>0</v>
      </c>
      <c r="N328" s="52">
        <v>0</v>
      </c>
      <c r="O328" s="51" t="str">
        <f t="shared" si="34"/>
        <v/>
      </c>
      <c r="P328" s="53" t="str">
        <f t="shared" si="35"/>
        <v/>
      </c>
      <c r="Q328" s="54"/>
    </row>
    <row r="329" spans="1:17" x14ac:dyDescent="0.25">
      <c r="A329" s="184"/>
      <c r="B329" s="184"/>
      <c r="C329" s="184"/>
      <c r="D329" s="184"/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2">
        <v>0</v>
      </c>
      <c r="M329" s="52">
        <v>0</v>
      </c>
      <c r="N329" s="52">
        <v>0</v>
      </c>
      <c r="O329" s="51" t="str">
        <f t="shared" si="34"/>
        <v/>
      </c>
      <c r="P329" s="53" t="str">
        <f t="shared" si="35"/>
        <v/>
      </c>
      <c r="Q329" s="54"/>
    </row>
    <row r="330" spans="1:17" x14ac:dyDescent="0.25">
      <c r="A330" s="184"/>
      <c r="B330" s="184"/>
      <c r="C330" s="184"/>
      <c r="D330" s="184"/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1" t="str">
        <f t="shared" si="34"/>
        <v/>
      </c>
      <c r="P330" s="53" t="str">
        <f t="shared" si="35"/>
        <v/>
      </c>
      <c r="Q330" s="54"/>
    </row>
    <row r="331" spans="1:17" x14ac:dyDescent="0.25">
      <c r="A331" s="184"/>
      <c r="B331" s="184"/>
      <c r="C331" s="184"/>
      <c r="D331" s="184"/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51" t="str">
        <f t="shared" si="34"/>
        <v/>
      </c>
      <c r="P331" s="53" t="str">
        <f t="shared" si="35"/>
        <v/>
      </c>
      <c r="Q331" s="54"/>
    </row>
    <row r="332" spans="1:17" x14ac:dyDescent="0.25">
      <c r="A332" s="184"/>
      <c r="B332" s="184"/>
      <c r="C332" s="184"/>
      <c r="D332" s="184"/>
      <c r="E332" s="52">
        <v>0</v>
      </c>
      <c r="F332" s="52">
        <v>0</v>
      </c>
      <c r="G332" s="52">
        <v>0</v>
      </c>
      <c r="H332" s="52">
        <v>0</v>
      </c>
      <c r="I332" s="52">
        <v>0</v>
      </c>
      <c r="J332" s="52">
        <v>0</v>
      </c>
      <c r="K332" s="52">
        <v>0</v>
      </c>
      <c r="L332" s="52">
        <v>0</v>
      </c>
      <c r="M332" s="52">
        <v>0</v>
      </c>
      <c r="N332" s="52">
        <v>0</v>
      </c>
      <c r="O332" s="51" t="str">
        <f t="shared" si="34"/>
        <v/>
      </c>
      <c r="P332" s="53" t="str">
        <f t="shared" si="35"/>
        <v/>
      </c>
      <c r="Q332" s="54"/>
    </row>
    <row r="333" spans="1:17" x14ac:dyDescent="0.25">
      <c r="A333" s="184"/>
      <c r="B333" s="184"/>
      <c r="C333" s="184"/>
      <c r="D333" s="184"/>
      <c r="E333" s="52">
        <v>0</v>
      </c>
      <c r="F333" s="52">
        <v>0</v>
      </c>
      <c r="G333" s="52">
        <v>0</v>
      </c>
      <c r="H333" s="52">
        <v>0</v>
      </c>
      <c r="I333" s="52">
        <v>0</v>
      </c>
      <c r="J333" s="52">
        <v>0</v>
      </c>
      <c r="K333" s="52">
        <v>0</v>
      </c>
      <c r="L333" s="52">
        <v>0</v>
      </c>
      <c r="M333" s="52">
        <v>0</v>
      </c>
      <c r="N333" s="52">
        <v>0</v>
      </c>
      <c r="O333" s="51" t="str">
        <f t="shared" si="34"/>
        <v/>
      </c>
      <c r="P333" s="53" t="str">
        <f t="shared" si="35"/>
        <v/>
      </c>
      <c r="Q333" s="54"/>
    </row>
    <row r="334" spans="1:17" x14ac:dyDescent="0.25">
      <c r="A334" s="184"/>
      <c r="B334" s="184"/>
      <c r="C334" s="184"/>
      <c r="D334" s="184"/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51" t="str">
        <f t="shared" si="34"/>
        <v/>
      </c>
      <c r="P334" s="53" t="str">
        <f t="shared" si="35"/>
        <v/>
      </c>
      <c r="Q334" s="54"/>
    </row>
    <row r="335" spans="1:17" x14ac:dyDescent="0.25">
      <c r="A335" s="184"/>
      <c r="B335" s="184"/>
      <c r="C335" s="184"/>
      <c r="D335" s="184"/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1" t="str">
        <f t="shared" si="34"/>
        <v/>
      </c>
      <c r="P335" s="53" t="str">
        <f t="shared" si="35"/>
        <v/>
      </c>
      <c r="Q335" s="54"/>
    </row>
    <row r="336" spans="1:17" x14ac:dyDescent="0.25">
      <c r="A336" s="184"/>
      <c r="B336" s="184"/>
      <c r="C336" s="184"/>
      <c r="D336" s="184"/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1" t="str">
        <f t="shared" si="34"/>
        <v/>
      </c>
      <c r="P336" s="53" t="str">
        <f t="shared" si="35"/>
        <v/>
      </c>
      <c r="Q336" s="54"/>
    </row>
    <row r="337" spans="1:17" x14ac:dyDescent="0.25">
      <c r="A337" s="184"/>
      <c r="B337" s="184"/>
      <c r="C337" s="184"/>
      <c r="D337" s="184"/>
      <c r="E337" s="52">
        <v>0</v>
      </c>
      <c r="F337" s="52">
        <v>0</v>
      </c>
      <c r="G337" s="52">
        <v>0</v>
      </c>
      <c r="H337" s="52">
        <v>0</v>
      </c>
      <c r="I337" s="52">
        <v>0</v>
      </c>
      <c r="J337" s="52">
        <v>0</v>
      </c>
      <c r="K337" s="52">
        <v>0</v>
      </c>
      <c r="L337" s="52">
        <v>0</v>
      </c>
      <c r="M337" s="52">
        <v>0</v>
      </c>
      <c r="N337" s="52">
        <v>0</v>
      </c>
      <c r="O337" s="51" t="str">
        <f t="shared" si="34"/>
        <v/>
      </c>
      <c r="P337" s="53" t="str">
        <f t="shared" si="35"/>
        <v/>
      </c>
      <c r="Q337" s="54"/>
    </row>
    <row r="338" spans="1:17" x14ac:dyDescent="0.25">
      <c r="A338" s="184"/>
      <c r="B338" s="184"/>
      <c r="C338" s="184"/>
      <c r="D338" s="184"/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1" t="str">
        <f t="shared" si="34"/>
        <v/>
      </c>
      <c r="P338" s="53" t="str">
        <f t="shared" si="35"/>
        <v/>
      </c>
      <c r="Q338" s="54"/>
    </row>
    <row r="339" spans="1:17" x14ac:dyDescent="0.25">
      <c r="A339" s="184"/>
      <c r="B339" s="184"/>
      <c r="C339" s="184"/>
      <c r="D339" s="184"/>
      <c r="E339" s="52">
        <v>0</v>
      </c>
      <c r="F339" s="52">
        <v>0</v>
      </c>
      <c r="G339" s="52">
        <v>0</v>
      </c>
      <c r="H339" s="52">
        <v>0</v>
      </c>
      <c r="I339" s="52">
        <v>0</v>
      </c>
      <c r="J339" s="52">
        <v>0</v>
      </c>
      <c r="K339" s="52">
        <v>0</v>
      </c>
      <c r="L339" s="52">
        <v>0</v>
      </c>
      <c r="M339" s="52">
        <v>0</v>
      </c>
      <c r="N339" s="52">
        <v>0</v>
      </c>
      <c r="O339" s="51" t="str">
        <f t="shared" si="34"/>
        <v/>
      </c>
      <c r="P339" s="53" t="str">
        <f t="shared" si="35"/>
        <v/>
      </c>
      <c r="Q339" s="54"/>
    </row>
    <row r="340" spans="1:17" x14ac:dyDescent="0.25">
      <c r="A340" s="184"/>
      <c r="B340" s="184"/>
      <c r="C340" s="184"/>
      <c r="D340" s="184"/>
      <c r="E340" s="52">
        <v>0</v>
      </c>
      <c r="F340" s="52">
        <v>0</v>
      </c>
      <c r="G340" s="52">
        <v>0</v>
      </c>
      <c r="H340" s="52">
        <v>0</v>
      </c>
      <c r="I340" s="52">
        <v>0</v>
      </c>
      <c r="J340" s="52">
        <v>0</v>
      </c>
      <c r="K340" s="52">
        <v>0</v>
      </c>
      <c r="L340" s="52">
        <v>0</v>
      </c>
      <c r="M340" s="52">
        <v>0</v>
      </c>
      <c r="N340" s="52">
        <v>0</v>
      </c>
      <c r="O340" s="51" t="str">
        <f t="shared" si="34"/>
        <v/>
      </c>
      <c r="P340" s="53" t="str">
        <f t="shared" si="35"/>
        <v/>
      </c>
      <c r="Q340" s="54"/>
    </row>
    <row r="341" spans="1:17" x14ac:dyDescent="0.25">
      <c r="A341" s="184"/>
      <c r="B341" s="184"/>
      <c r="C341" s="184"/>
      <c r="D341" s="184"/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2">
        <v>0</v>
      </c>
      <c r="M341" s="52">
        <v>0</v>
      </c>
      <c r="N341" s="52">
        <v>0</v>
      </c>
      <c r="O341" s="51" t="str">
        <f t="shared" si="34"/>
        <v/>
      </c>
      <c r="P341" s="53" t="str">
        <f t="shared" si="35"/>
        <v/>
      </c>
      <c r="Q341" s="54"/>
    </row>
    <row r="342" spans="1:17" x14ac:dyDescent="0.25">
      <c r="A342" s="184"/>
      <c r="B342" s="184"/>
      <c r="C342" s="184"/>
      <c r="D342" s="184"/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1" t="str">
        <f t="shared" si="34"/>
        <v/>
      </c>
      <c r="P342" s="53" t="str">
        <f t="shared" si="35"/>
        <v/>
      </c>
      <c r="Q342" s="54"/>
    </row>
    <row r="343" spans="1:17" x14ac:dyDescent="0.25">
      <c r="A343" s="184"/>
      <c r="B343" s="184"/>
      <c r="C343" s="184"/>
      <c r="D343" s="184"/>
      <c r="E343" s="52">
        <v>0</v>
      </c>
      <c r="F343" s="52">
        <v>0</v>
      </c>
      <c r="G343" s="52">
        <v>0</v>
      </c>
      <c r="H343" s="52">
        <v>0</v>
      </c>
      <c r="I343" s="52">
        <v>0</v>
      </c>
      <c r="J343" s="52">
        <v>0</v>
      </c>
      <c r="K343" s="52">
        <v>0</v>
      </c>
      <c r="L343" s="52">
        <v>0</v>
      </c>
      <c r="M343" s="52">
        <v>0</v>
      </c>
      <c r="N343" s="52">
        <v>0</v>
      </c>
      <c r="O343" s="51" t="str">
        <f t="shared" ref="O343:O353" si="36">IF(B307="","",SUM(E307:N307))</f>
        <v/>
      </c>
      <c r="P343" s="53" t="str">
        <f t="shared" ref="P343:P353" si="37">IF(B307="","",IF(O307=0,"Pendente",IF(O307&lt;D307,"Parcial","Pago")))</f>
        <v/>
      </c>
      <c r="Q343" s="54"/>
    </row>
    <row r="344" spans="1:17" x14ac:dyDescent="0.25">
      <c r="A344" s="184"/>
      <c r="B344" s="184"/>
      <c r="C344" s="184"/>
      <c r="D344" s="184"/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0</v>
      </c>
      <c r="O344" s="51" t="str">
        <f t="shared" si="36"/>
        <v/>
      </c>
      <c r="P344" s="53" t="str">
        <f t="shared" si="37"/>
        <v/>
      </c>
      <c r="Q344" s="54"/>
    </row>
    <row r="345" spans="1:17" x14ac:dyDescent="0.25">
      <c r="A345" s="184"/>
      <c r="B345" s="184"/>
      <c r="C345" s="184"/>
      <c r="D345" s="184"/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1" t="str">
        <f t="shared" si="36"/>
        <v/>
      </c>
      <c r="P345" s="53" t="str">
        <f t="shared" si="37"/>
        <v/>
      </c>
      <c r="Q345" s="54"/>
    </row>
    <row r="346" spans="1:17" x14ac:dyDescent="0.25">
      <c r="A346" s="184"/>
      <c r="B346" s="184"/>
      <c r="C346" s="184"/>
      <c r="D346" s="184"/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1" t="str">
        <f t="shared" si="36"/>
        <v/>
      </c>
      <c r="P346" s="53" t="str">
        <f t="shared" si="37"/>
        <v/>
      </c>
      <c r="Q346" s="54"/>
    </row>
    <row r="347" spans="1:17" x14ac:dyDescent="0.25">
      <c r="A347" s="184"/>
      <c r="B347" s="184"/>
      <c r="C347" s="184"/>
      <c r="D347" s="184"/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2">
        <v>0</v>
      </c>
      <c r="L347" s="52">
        <v>0</v>
      </c>
      <c r="M347" s="52">
        <v>0</v>
      </c>
      <c r="N347" s="52">
        <v>0</v>
      </c>
      <c r="O347" s="51" t="str">
        <f t="shared" si="36"/>
        <v/>
      </c>
      <c r="P347" s="53" t="str">
        <f t="shared" si="37"/>
        <v/>
      </c>
      <c r="Q347" s="54"/>
    </row>
    <row r="348" spans="1:17" x14ac:dyDescent="0.25">
      <c r="A348" s="184"/>
      <c r="B348" s="184"/>
      <c r="C348" s="184"/>
      <c r="D348" s="184"/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1" t="str">
        <f t="shared" si="36"/>
        <v/>
      </c>
      <c r="P348" s="53" t="str">
        <f t="shared" si="37"/>
        <v/>
      </c>
      <c r="Q348" s="54"/>
    </row>
    <row r="349" spans="1:17" x14ac:dyDescent="0.25">
      <c r="A349" s="184"/>
      <c r="B349" s="184"/>
      <c r="C349" s="184"/>
      <c r="D349" s="184"/>
      <c r="E349" s="52">
        <v>0</v>
      </c>
      <c r="F349" s="52">
        <v>0</v>
      </c>
      <c r="G349" s="52">
        <v>0</v>
      </c>
      <c r="H349" s="52">
        <v>0</v>
      </c>
      <c r="I349" s="52">
        <v>0</v>
      </c>
      <c r="J349" s="52">
        <v>0</v>
      </c>
      <c r="K349" s="52">
        <v>0</v>
      </c>
      <c r="L349" s="52">
        <v>0</v>
      </c>
      <c r="M349" s="52">
        <v>0</v>
      </c>
      <c r="N349" s="52">
        <v>0</v>
      </c>
      <c r="O349" s="51" t="str">
        <f t="shared" si="36"/>
        <v/>
      </c>
      <c r="P349" s="53" t="str">
        <f t="shared" si="37"/>
        <v/>
      </c>
      <c r="Q349" s="54"/>
    </row>
    <row r="350" spans="1:17" x14ac:dyDescent="0.25">
      <c r="A350" s="184"/>
      <c r="B350" s="184"/>
      <c r="C350" s="184"/>
      <c r="D350" s="184"/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0</v>
      </c>
      <c r="O350" s="51" t="str">
        <f t="shared" si="36"/>
        <v/>
      </c>
      <c r="P350" s="53" t="str">
        <f t="shared" si="37"/>
        <v/>
      </c>
      <c r="Q350" s="54"/>
    </row>
    <row r="351" spans="1:17" x14ac:dyDescent="0.25">
      <c r="A351" s="184"/>
      <c r="B351" s="184"/>
      <c r="C351" s="184"/>
      <c r="D351" s="184"/>
      <c r="E351" s="52">
        <v>0</v>
      </c>
      <c r="F351" s="52">
        <v>0</v>
      </c>
      <c r="G351" s="52">
        <v>0</v>
      </c>
      <c r="H351" s="52">
        <v>0</v>
      </c>
      <c r="I351" s="52">
        <v>0</v>
      </c>
      <c r="J351" s="52">
        <v>0</v>
      </c>
      <c r="K351" s="52">
        <v>0</v>
      </c>
      <c r="L351" s="52">
        <v>0</v>
      </c>
      <c r="M351" s="52">
        <v>0</v>
      </c>
      <c r="N351" s="52">
        <v>0</v>
      </c>
      <c r="O351" s="51" t="str">
        <f t="shared" si="36"/>
        <v/>
      </c>
      <c r="P351" s="53" t="str">
        <f t="shared" si="37"/>
        <v/>
      </c>
      <c r="Q351" s="54"/>
    </row>
    <row r="352" spans="1:17" x14ac:dyDescent="0.25">
      <c r="A352" s="184"/>
      <c r="B352" s="184"/>
      <c r="C352" s="184"/>
      <c r="D352" s="184"/>
      <c r="E352" s="52">
        <v>0</v>
      </c>
      <c r="F352" s="52">
        <v>0</v>
      </c>
      <c r="G352" s="52">
        <v>0</v>
      </c>
      <c r="H352" s="52">
        <v>0</v>
      </c>
      <c r="I352" s="52">
        <v>0</v>
      </c>
      <c r="J352" s="52">
        <v>0</v>
      </c>
      <c r="K352" s="52">
        <v>0</v>
      </c>
      <c r="L352" s="52">
        <v>0</v>
      </c>
      <c r="M352" s="52">
        <v>0</v>
      </c>
      <c r="N352" s="52">
        <v>0</v>
      </c>
      <c r="O352" s="51" t="str">
        <f t="shared" si="36"/>
        <v/>
      </c>
      <c r="P352" s="53" t="str">
        <f t="shared" si="37"/>
        <v/>
      </c>
      <c r="Q352" s="54"/>
    </row>
    <row r="353" spans="1:17" x14ac:dyDescent="0.25">
      <c r="A353" s="184"/>
      <c r="B353" s="184"/>
      <c r="C353" s="184"/>
      <c r="D353" s="184"/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51" t="str">
        <f t="shared" si="36"/>
        <v/>
      </c>
      <c r="P353" s="53" t="str">
        <f t="shared" si="37"/>
        <v/>
      </c>
      <c r="Q353" s="54"/>
    </row>
    <row r="354" spans="1:17" x14ac:dyDescent="0.25">
      <c r="A354" s="56" t="s">
        <v>98</v>
      </c>
      <c r="B354" s="56" t="str">
        <f>COUNTIF(B243:B317,"?*")&amp;" alunos"</f>
        <v>3 alunos</v>
      </c>
      <c r="C354" s="36"/>
      <c r="D354" s="36"/>
      <c r="E354" s="57">
        <f t="shared" ref="E354:O354" si="38">SUM(E243:E317)</f>
        <v>0</v>
      </c>
      <c r="F354" s="57">
        <f t="shared" si="38"/>
        <v>0</v>
      </c>
      <c r="G354" s="57">
        <f t="shared" si="38"/>
        <v>0</v>
      </c>
      <c r="H354" s="57">
        <f t="shared" si="38"/>
        <v>0</v>
      </c>
      <c r="I354" s="57">
        <f t="shared" si="38"/>
        <v>0</v>
      </c>
      <c r="J354" s="57">
        <f t="shared" si="38"/>
        <v>0</v>
      </c>
      <c r="K354" s="57">
        <f t="shared" si="38"/>
        <v>0</v>
      </c>
      <c r="L354" s="57">
        <f t="shared" si="38"/>
        <v>0</v>
      </c>
      <c r="M354" s="57">
        <f t="shared" si="38"/>
        <v>0</v>
      </c>
      <c r="N354" s="57">
        <f t="shared" si="38"/>
        <v>0</v>
      </c>
      <c r="O354" s="57" t="e">
        <f t="shared" si="38"/>
        <v>#REF!</v>
      </c>
      <c r="P354" s="36"/>
      <c r="Q354" s="36"/>
    </row>
    <row r="356" spans="1:17" x14ac:dyDescent="0.25">
      <c r="A356" s="59" t="s">
        <v>122</v>
      </c>
      <c r="B356" s="60" t="str">
        <f>COUNTIF(B6:B80,"?*")+COUNTIF(B85:B159,"?*")+COUNTIF(B164:B238,"?*")+COUNTIF(B243:B317,"?*")&amp;" alunos"</f>
        <v>25 alunos</v>
      </c>
      <c r="C356" s="60"/>
      <c r="D356" s="60"/>
      <c r="E356" s="61">
        <f t="shared" ref="E356:O356" si="39">E81+E160+E239+E318</f>
        <v>0</v>
      </c>
      <c r="F356" s="61">
        <f t="shared" si="39"/>
        <v>0</v>
      </c>
      <c r="G356" s="61">
        <f t="shared" si="39"/>
        <v>0</v>
      </c>
      <c r="H356" s="61">
        <f t="shared" si="39"/>
        <v>0</v>
      </c>
      <c r="I356" s="61">
        <f t="shared" si="39"/>
        <v>0</v>
      </c>
      <c r="J356" s="61">
        <f t="shared" si="39"/>
        <v>0</v>
      </c>
      <c r="K356" s="61">
        <f t="shared" si="39"/>
        <v>0</v>
      </c>
      <c r="L356" s="61">
        <f t="shared" si="39"/>
        <v>0</v>
      </c>
      <c r="M356" s="61">
        <f t="shared" si="39"/>
        <v>0</v>
      </c>
      <c r="N356" s="61">
        <f t="shared" si="39"/>
        <v>0</v>
      </c>
      <c r="O356" s="61" t="e">
        <f t="shared" si="39"/>
        <v>#VALUE!</v>
      </c>
      <c r="P356" s="60"/>
      <c r="Q356" s="60"/>
    </row>
  </sheetData>
  <mergeCells count="7">
    <mergeCell ref="A1:Q1"/>
    <mergeCell ref="A241:Q241"/>
    <mergeCell ref="A162:Q162"/>
    <mergeCell ref="A83:Q83"/>
    <mergeCell ref="A4:Q4"/>
    <mergeCell ref="A180:Q180"/>
    <mergeCell ref="A2:Q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94"/>
  <sheetViews>
    <sheetView zoomScaleNormal="100" workbookViewId="0">
      <pane ySplit="3" topLeftCell="A4" activePane="bottomLeft" state="frozen"/>
      <selection pane="bottomLeft" activeCell="K8" sqref="K8"/>
    </sheetView>
  </sheetViews>
  <sheetFormatPr defaultColWidth="8.5703125" defaultRowHeight="15" x14ac:dyDescent="0.25"/>
  <cols>
    <col min="1" max="1" width="10" style="188" customWidth="1"/>
    <col min="2" max="2" width="34" style="188" customWidth="1"/>
    <col min="3" max="3" width="14" style="188" customWidth="1"/>
    <col min="4" max="4" width="22" style="188" customWidth="1"/>
    <col min="5" max="5" width="14" style="188" customWidth="1"/>
    <col min="6" max="7" width="13" style="188" customWidth="1"/>
    <col min="8" max="8" width="12" style="188" customWidth="1"/>
    <col min="9" max="9" width="26" style="188" customWidth="1"/>
    <col min="10" max="10" width="12" style="188" customWidth="1"/>
    <col min="11" max="11" width="16" style="188" customWidth="1"/>
    <col min="12" max="12" width="14" style="188" customWidth="1"/>
  </cols>
  <sheetData>
    <row r="1" spans="1:12" ht="24" customHeight="1" x14ac:dyDescent="0.25">
      <c r="A1" s="251" t="s">
        <v>145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2" ht="15" customHeight="1" x14ac:dyDescent="0.25">
      <c r="A2" s="248" t="s">
        <v>146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4" spans="1:12" ht="15" customHeight="1" x14ac:dyDescent="0.25">
      <c r="A4" s="252" t="s">
        <v>63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</row>
    <row r="5" spans="1:12" ht="25.5" customHeight="1" x14ac:dyDescent="0.25">
      <c r="A5" s="62" t="s">
        <v>64</v>
      </c>
      <c r="B5" s="62" t="s">
        <v>65</v>
      </c>
      <c r="C5" s="62" t="s">
        <v>66</v>
      </c>
      <c r="D5" s="62" t="s">
        <v>147</v>
      </c>
      <c r="E5" s="62" t="s">
        <v>148</v>
      </c>
      <c r="F5" s="62" t="s">
        <v>149</v>
      </c>
      <c r="G5" s="62" t="s">
        <v>150</v>
      </c>
      <c r="H5" s="62" t="s">
        <v>151</v>
      </c>
      <c r="I5" s="62" t="s">
        <v>152</v>
      </c>
      <c r="J5" s="62" t="s">
        <v>153</v>
      </c>
      <c r="K5" s="62" t="s">
        <v>154</v>
      </c>
      <c r="L5" s="62" t="s">
        <v>155</v>
      </c>
    </row>
    <row r="6" spans="1:12" ht="15" customHeight="1" x14ac:dyDescent="0.25">
      <c r="A6" s="185" t="str">
        <f>IF('Controlo de Propinas'!A6="","",'Controlo de Propinas'!A6)</f>
        <v>P1-01</v>
      </c>
      <c r="B6" s="185" t="str">
        <f>IF('Controlo de Propinas'!B6="","",'Controlo de Propinas'!B6)</f>
        <v>Hazail Epandi Calei da Costa</v>
      </c>
      <c r="C6" s="185" t="str">
        <f>IF('Controlo de Propinas'!C6="","",'Controlo de Propinas'!C6)</f>
        <v>Maternelle</v>
      </c>
      <c r="D6" s="63"/>
      <c r="E6" s="63"/>
      <c r="F6" s="195">
        <f>IF('Controlo de Propinas'!K6="","",'Controlo de Propinas'!K6)</f>
        <v>46229</v>
      </c>
      <c r="G6" s="64">
        <f t="shared" ref="G6:G37" si="0">IF(C6="","",IF(OR(C6="Maternelle",C6="Maternelle P1",C6="Maternelle P2",C6="Maternelle P3"),170000,IF(C6="CM2",250000,IF(C6="4eme",260000,170000))))</f>
        <v>170000</v>
      </c>
      <c r="H6" s="63"/>
      <c r="I6" s="63"/>
      <c r="J6" s="63"/>
      <c r="K6" s="63"/>
      <c r="L6" s="63"/>
    </row>
    <row r="7" spans="1:12" ht="15" customHeight="1" x14ac:dyDescent="0.25">
      <c r="A7" s="185" t="str">
        <f>IF('Controlo de Propinas'!A7="","",'Controlo de Propinas'!A7)</f>
        <v>P1-02</v>
      </c>
      <c r="B7" s="185" t="str">
        <f>IF('Controlo de Propinas'!B7="","",'Controlo de Propinas'!B7)</f>
        <v>Erick Libânio Sebastião da Silva</v>
      </c>
      <c r="C7" s="185" t="str">
        <f>IF('Controlo de Propinas'!C7="","",'Controlo de Propinas'!C7)</f>
        <v>Maternelle P1</v>
      </c>
      <c r="D7" s="63"/>
      <c r="E7" s="63"/>
      <c r="F7" s="195">
        <f>IF('Controlo de Propinas'!K7="","",'Controlo de Propinas'!K7)</f>
        <v>46235</v>
      </c>
      <c r="G7" s="64">
        <f t="shared" si="0"/>
        <v>170000</v>
      </c>
      <c r="H7" s="63"/>
      <c r="I7" s="63"/>
      <c r="J7" s="63"/>
      <c r="K7" s="63"/>
      <c r="L7" s="63"/>
    </row>
    <row r="8" spans="1:12" ht="15" customHeight="1" x14ac:dyDescent="0.25">
      <c r="A8" s="185" t="str">
        <f>IF('Controlo de Propinas'!A8="","",'Controlo de Propinas'!A8)</f>
        <v>P2-03</v>
      </c>
      <c r="B8" s="185" t="str">
        <f>IF('Controlo de Propinas'!B8="","",'Controlo de Propinas'!B8)</f>
        <v>Eloa Marina Sebastião da Silva</v>
      </c>
      <c r="C8" s="185" t="str">
        <f>IF('Controlo de Propinas'!C8="","",'Controlo de Propinas'!C8)</f>
        <v>Maternelle P2</v>
      </c>
      <c r="D8" s="63"/>
      <c r="E8" s="63"/>
      <c r="F8" s="195">
        <f>IF('Controlo de Propinas'!K8="","",'Controlo de Propinas'!K8)</f>
        <v>46235</v>
      </c>
      <c r="G8" s="64">
        <f t="shared" si="0"/>
        <v>170000</v>
      </c>
      <c r="H8" s="63"/>
      <c r="I8" s="63"/>
      <c r="J8" s="63"/>
      <c r="K8" s="63"/>
      <c r="L8" s="63"/>
    </row>
    <row r="9" spans="1:12" ht="15" customHeight="1" x14ac:dyDescent="0.25">
      <c r="A9" s="185" t="str">
        <f>IF('Controlo de Propinas'!A9="","",'Controlo de Propinas'!A9)</f>
        <v>P2-04</v>
      </c>
      <c r="B9" s="185" t="str">
        <f>IF('Controlo de Propinas'!B9="","",'Controlo de Propinas'!B9)</f>
        <v>Ivander Trindade Bernardo Clementino</v>
      </c>
      <c r="C9" s="185" t="str">
        <f>IF('Controlo de Propinas'!C9="","",'Controlo de Propinas'!C9)</f>
        <v>Maternelle P2</v>
      </c>
      <c r="D9" s="63"/>
      <c r="E9" s="63"/>
      <c r="F9" s="195">
        <f>IF('Controlo de Propinas'!K9="","",'Controlo de Propinas'!K9)</f>
        <v>46240</v>
      </c>
      <c r="G9" s="64">
        <f t="shared" si="0"/>
        <v>170000</v>
      </c>
      <c r="H9" s="63"/>
      <c r="I9" s="63"/>
      <c r="J9" s="63"/>
      <c r="K9" s="63"/>
      <c r="L9" s="63"/>
    </row>
    <row r="10" spans="1:12" ht="15" customHeight="1" x14ac:dyDescent="0.25">
      <c r="A10" s="185" t="str">
        <f>IF('Controlo de Propinas'!A10="","",'Controlo de Propinas'!A10)</f>
        <v>P3-05</v>
      </c>
      <c r="B10" s="185" t="str">
        <f>IF('Controlo de Propinas'!B10="","",'Controlo de Propinas'!B10)</f>
        <v>Gael Hanji Ventura Quimbundo</v>
      </c>
      <c r="C10" s="185" t="str">
        <f>IF('Controlo de Propinas'!C10="","",'Controlo de Propinas'!C10)</f>
        <v>Maternelle P3</v>
      </c>
      <c r="D10" s="63"/>
      <c r="E10" s="63"/>
      <c r="F10" s="195">
        <f>IF('Controlo de Propinas'!K10="","",'Controlo de Propinas'!K10)</f>
        <v>46237</v>
      </c>
      <c r="G10" s="64">
        <f t="shared" si="0"/>
        <v>170000</v>
      </c>
      <c r="H10" s="63"/>
      <c r="I10" s="63"/>
      <c r="J10" s="63"/>
      <c r="K10" s="63"/>
      <c r="L10" s="63"/>
    </row>
    <row r="11" spans="1:12" ht="15" customHeight="1" x14ac:dyDescent="0.25">
      <c r="A11" s="185" t="str">
        <f>IF('Controlo de Propinas'!A11="","",'Controlo de Propinas'!A11)</f>
        <v>P3-06</v>
      </c>
      <c r="B11" s="185" t="str">
        <f>IF('Controlo de Propinas'!B11="","",'Controlo de Propinas'!B11)</f>
        <v>Ivanna Chayane Bernardo Clementino</v>
      </c>
      <c r="C11" s="185" t="str">
        <f>IF('Controlo de Propinas'!C11="","",'Controlo de Propinas'!C11)</f>
        <v>Maternelle P3</v>
      </c>
      <c r="D11" s="63"/>
      <c r="E11" s="63"/>
      <c r="F11" s="195">
        <f>IF('Controlo de Propinas'!K11="","",'Controlo de Propinas'!K11)</f>
        <v>46240</v>
      </c>
      <c r="G11" s="64">
        <f t="shared" si="0"/>
        <v>170000</v>
      </c>
      <c r="H11" s="63"/>
      <c r="I11" s="63"/>
      <c r="J11" s="63"/>
      <c r="K11" s="63"/>
      <c r="L11" s="63"/>
    </row>
    <row r="12" spans="1:12" ht="15" customHeight="1" x14ac:dyDescent="0.25">
      <c r="A12" s="185" t="str">
        <f>IF('Controlo de Propinas'!A12="","",'Controlo de Propinas'!A12)</f>
        <v>P3-07</v>
      </c>
      <c r="B12" s="185" t="str">
        <f>IF('Controlo de Propinas'!B12="","",'Controlo de Propinas'!B12)</f>
        <v>Wendy Aryanne Chimuco Sabino</v>
      </c>
      <c r="C12" s="185" t="str">
        <f>IF('Controlo de Propinas'!C12="","",'Controlo de Propinas'!C12)</f>
        <v>Maternelle P3</v>
      </c>
      <c r="D12" s="63"/>
      <c r="E12" s="63"/>
      <c r="F12" s="195">
        <f>IF('Controlo de Propinas'!K12="","",'Controlo de Propinas'!K12)</f>
        <v>46232</v>
      </c>
      <c r="G12" s="64">
        <f t="shared" si="0"/>
        <v>170000</v>
      </c>
      <c r="H12" s="63"/>
      <c r="I12" s="63"/>
      <c r="J12" s="63"/>
      <c r="K12" s="63"/>
      <c r="L12" s="63"/>
    </row>
    <row r="13" spans="1:12" ht="15" customHeight="1" x14ac:dyDescent="0.25">
      <c r="A13" s="185" t="str">
        <f>IF('Controlo de Propinas'!A13="","",'Controlo de Propinas'!A13)</f>
        <v>P1-08</v>
      </c>
      <c r="B13" s="185" t="str">
        <f>IF('Controlo de Propinas'!B13="","",'Controlo de Propinas'!B13)</f>
        <v>Kesane Aimé Teixeira Correia de Azevedo</v>
      </c>
      <c r="C13" s="185" t="str">
        <f>IF('Controlo de Propinas'!C13="","",'Controlo de Propinas'!C13)</f>
        <v>Maternelle P1</v>
      </c>
      <c r="D13" s="63"/>
      <c r="E13" s="63"/>
      <c r="F13" s="185">
        <f>IF('Controlo de Propinas'!K13="","",'Controlo de Propinas'!K13)</f>
        <v>46255</v>
      </c>
      <c r="G13" s="64">
        <f t="shared" si="0"/>
        <v>170000</v>
      </c>
      <c r="H13" s="63"/>
      <c r="I13" s="63"/>
      <c r="J13" s="63"/>
      <c r="K13" s="63"/>
      <c r="L13" s="63"/>
    </row>
    <row r="14" spans="1:12" ht="15" customHeight="1" x14ac:dyDescent="0.25">
      <c r="A14" s="185" t="str">
        <f>IF('Controlo de Propinas'!A14="","",'Controlo de Propinas'!A14)</f>
        <v>P3-09</v>
      </c>
      <c r="B14" s="185" t="str">
        <f>IF('Controlo de Propinas'!B14="","",'Controlo de Propinas'!B14)</f>
        <v>Kuami Hazael Francisco Venâncio</v>
      </c>
      <c r="C14" s="185" t="str">
        <f>IF('Controlo de Propinas'!C14="","",'Controlo de Propinas'!C14)</f>
        <v>Maternelle P3</v>
      </c>
      <c r="D14" s="63"/>
      <c r="E14" s="63"/>
      <c r="F14" s="195">
        <f>IF('Controlo de Propinas'!K14="","",'Controlo de Propinas'!K14)</f>
        <v>46245</v>
      </c>
      <c r="G14" s="64">
        <f t="shared" si="0"/>
        <v>170000</v>
      </c>
      <c r="H14" s="63"/>
      <c r="I14" s="63"/>
      <c r="J14" s="63"/>
      <c r="K14" s="63"/>
      <c r="L14" s="63"/>
    </row>
    <row r="15" spans="1:12" ht="15" customHeight="1" x14ac:dyDescent="0.25">
      <c r="A15" s="185" t="str">
        <f>IF('Controlo de Propinas'!A15="","",'Controlo de Propinas'!A15)</f>
        <v/>
      </c>
      <c r="B15" s="185" t="str">
        <f>IF('Controlo de Propinas'!B15="","",'Controlo de Propinas'!B15)</f>
        <v/>
      </c>
      <c r="C15" s="185" t="str">
        <f>IF('Controlo de Propinas'!C15="","",'Controlo de Propinas'!C15)</f>
        <v/>
      </c>
      <c r="D15" s="63"/>
      <c r="E15" s="63"/>
      <c r="F15" s="185" t="str">
        <f>IF('Controlo de Propinas'!K15="","",'Controlo de Propinas'!K15)</f>
        <v/>
      </c>
      <c r="G15" s="64" t="str">
        <f t="shared" si="0"/>
        <v/>
      </c>
      <c r="H15" s="63"/>
      <c r="I15" s="63"/>
      <c r="J15" s="63"/>
      <c r="K15" s="63"/>
      <c r="L15" s="63"/>
    </row>
    <row r="16" spans="1:12" ht="15" customHeight="1" x14ac:dyDescent="0.25">
      <c r="A16" s="185" t="str">
        <f>IF('Controlo de Propinas'!A16="","",'Controlo de Propinas'!A16)</f>
        <v/>
      </c>
      <c r="B16" s="185" t="str">
        <f>IF('Controlo de Propinas'!B16="","",'Controlo de Propinas'!B16)</f>
        <v/>
      </c>
      <c r="C16" s="185" t="str">
        <f>IF('Controlo de Propinas'!C16="","",'Controlo de Propinas'!C16)</f>
        <v/>
      </c>
      <c r="D16" s="63"/>
      <c r="E16" s="63"/>
      <c r="F16" s="185" t="str">
        <f>IF('Controlo de Propinas'!K16="","",'Controlo de Propinas'!K16)</f>
        <v/>
      </c>
      <c r="G16" s="64" t="str">
        <f t="shared" si="0"/>
        <v/>
      </c>
      <c r="H16" s="63"/>
      <c r="I16" s="63"/>
      <c r="J16" s="63"/>
      <c r="K16" s="63"/>
      <c r="L16" s="63"/>
    </row>
    <row r="17" spans="1:12" ht="15" customHeight="1" x14ac:dyDescent="0.25">
      <c r="A17" s="185" t="str">
        <f>IF('Controlo de Propinas'!A17="","",'Controlo de Propinas'!A17)</f>
        <v/>
      </c>
      <c r="B17" s="185" t="str">
        <f>IF('Controlo de Propinas'!B17="","",'Controlo de Propinas'!B17)</f>
        <v/>
      </c>
      <c r="C17" s="185" t="str">
        <f>IF('Controlo de Propinas'!C17="","",'Controlo de Propinas'!C17)</f>
        <v/>
      </c>
      <c r="D17" s="63"/>
      <c r="E17" s="63"/>
      <c r="F17" s="185" t="str">
        <f>IF('Controlo de Propinas'!K17="","",'Controlo de Propinas'!K17)</f>
        <v/>
      </c>
      <c r="G17" s="64" t="str">
        <f t="shared" si="0"/>
        <v/>
      </c>
      <c r="H17" s="63"/>
      <c r="I17" s="63"/>
      <c r="J17" s="63"/>
      <c r="K17" s="63"/>
      <c r="L17" s="63"/>
    </row>
    <row r="18" spans="1:12" ht="15" customHeight="1" x14ac:dyDescent="0.25">
      <c r="A18" s="185" t="str">
        <f>IF('Controlo de Propinas'!A18="","",'Controlo de Propinas'!A18)</f>
        <v/>
      </c>
      <c r="B18" s="185" t="str">
        <f>IF('Controlo de Propinas'!B18="","",'Controlo de Propinas'!B18)</f>
        <v/>
      </c>
      <c r="C18" s="185" t="str">
        <f>IF('Controlo de Propinas'!C18="","",'Controlo de Propinas'!C18)</f>
        <v/>
      </c>
      <c r="D18" s="63"/>
      <c r="E18" s="63"/>
      <c r="F18" s="185" t="str">
        <f>IF('Controlo de Propinas'!K18="","",'Controlo de Propinas'!K18)</f>
        <v/>
      </c>
      <c r="G18" s="64" t="str">
        <f t="shared" si="0"/>
        <v/>
      </c>
      <c r="H18" s="63"/>
      <c r="I18" s="63"/>
      <c r="J18" s="63"/>
      <c r="K18" s="63"/>
      <c r="L18" s="63"/>
    </row>
    <row r="19" spans="1:12" ht="15" customHeight="1" x14ac:dyDescent="0.25">
      <c r="A19" s="185" t="str">
        <f>IF('Controlo de Propinas'!A19="","",'Controlo de Propinas'!A19)</f>
        <v/>
      </c>
      <c r="B19" s="185" t="str">
        <f>IF('Controlo de Propinas'!B19="","",'Controlo de Propinas'!B19)</f>
        <v/>
      </c>
      <c r="C19" s="185" t="str">
        <f>IF('Controlo de Propinas'!C19="","",'Controlo de Propinas'!C19)</f>
        <v/>
      </c>
      <c r="D19" s="63"/>
      <c r="E19" s="63"/>
      <c r="F19" s="185" t="str">
        <f>IF('Controlo de Propinas'!K19="","",'Controlo de Propinas'!K19)</f>
        <v/>
      </c>
      <c r="G19" s="64" t="str">
        <f t="shared" si="0"/>
        <v/>
      </c>
      <c r="H19" s="63"/>
      <c r="I19" s="63"/>
      <c r="J19" s="63"/>
      <c r="K19" s="63"/>
      <c r="L19" s="63"/>
    </row>
    <row r="20" spans="1:12" ht="15" customHeight="1" x14ac:dyDescent="0.25">
      <c r="A20" s="185" t="str">
        <f>IF('Controlo de Propinas'!A20="","",'Controlo de Propinas'!A20)</f>
        <v/>
      </c>
      <c r="B20" s="185" t="str">
        <f>IF('Controlo de Propinas'!B20="","",'Controlo de Propinas'!B20)</f>
        <v/>
      </c>
      <c r="C20" s="185" t="str">
        <f>IF('Controlo de Propinas'!C20="","",'Controlo de Propinas'!C20)</f>
        <v/>
      </c>
      <c r="D20" s="63"/>
      <c r="E20" s="63"/>
      <c r="F20" s="185" t="str">
        <f>IF('Controlo de Propinas'!K20="","",'Controlo de Propinas'!K20)</f>
        <v/>
      </c>
      <c r="G20" s="64" t="str">
        <f t="shared" si="0"/>
        <v/>
      </c>
      <c r="H20" s="63"/>
      <c r="I20" s="63"/>
      <c r="J20" s="63"/>
      <c r="K20" s="63"/>
      <c r="L20" s="63"/>
    </row>
    <row r="21" spans="1:12" ht="15" customHeight="1" x14ac:dyDescent="0.25">
      <c r="A21" s="185" t="str">
        <f>IF('Controlo de Propinas'!A21="","",'Controlo de Propinas'!A21)</f>
        <v/>
      </c>
      <c r="B21" s="185" t="str">
        <f>IF('Controlo de Propinas'!B21="","",'Controlo de Propinas'!B21)</f>
        <v/>
      </c>
      <c r="C21" s="185" t="str">
        <f>IF('Controlo de Propinas'!C21="","",'Controlo de Propinas'!C21)</f>
        <v/>
      </c>
      <c r="D21" s="63"/>
      <c r="E21" s="63"/>
      <c r="F21" s="185" t="str">
        <f>IF('Controlo de Propinas'!K21="","",'Controlo de Propinas'!K21)</f>
        <v/>
      </c>
      <c r="G21" s="64" t="str">
        <f t="shared" si="0"/>
        <v/>
      </c>
      <c r="H21" s="63"/>
      <c r="I21" s="63"/>
      <c r="J21" s="63"/>
      <c r="K21" s="63"/>
      <c r="L21" s="63"/>
    </row>
    <row r="22" spans="1:12" ht="15" customHeight="1" x14ac:dyDescent="0.25">
      <c r="A22" s="185" t="str">
        <f>IF('Controlo de Propinas'!A22="","",'Controlo de Propinas'!A22)</f>
        <v/>
      </c>
      <c r="B22" s="185" t="str">
        <f>IF('Controlo de Propinas'!B22="","",'Controlo de Propinas'!B22)</f>
        <v/>
      </c>
      <c r="C22" s="185" t="str">
        <f>IF('Controlo de Propinas'!C22="","",'Controlo de Propinas'!C22)</f>
        <v/>
      </c>
      <c r="D22" s="63"/>
      <c r="E22" s="63"/>
      <c r="F22" s="185" t="str">
        <f>IF('Controlo de Propinas'!K22="","",'Controlo de Propinas'!K22)</f>
        <v/>
      </c>
      <c r="G22" s="64" t="str">
        <f t="shared" si="0"/>
        <v/>
      </c>
      <c r="H22" s="63"/>
      <c r="I22" s="63"/>
      <c r="J22" s="63"/>
      <c r="K22" s="63"/>
      <c r="L22" s="63"/>
    </row>
    <row r="23" spans="1:12" ht="15" customHeight="1" x14ac:dyDescent="0.25">
      <c r="A23" s="185" t="str">
        <f>IF('Controlo de Propinas'!A23="","",'Controlo de Propinas'!A23)</f>
        <v/>
      </c>
      <c r="B23" s="185" t="str">
        <f>IF('Controlo de Propinas'!B23="","",'Controlo de Propinas'!B23)</f>
        <v/>
      </c>
      <c r="C23" s="185" t="str">
        <f>IF('Controlo de Propinas'!C23="","",'Controlo de Propinas'!C23)</f>
        <v/>
      </c>
      <c r="D23" s="63"/>
      <c r="E23" s="63"/>
      <c r="F23" s="185" t="str">
        <f>IF('Controlo de Propinas'!K23="","",'Controlo de Propinas'!K23)</f>
        <v/>
      </c>
      <c r="G23" s="64" t="str">
        <f t="shared" si="0"/>
        <v/>
      </c>
      <c r="H23" s="63"/>
      <c r="I23" s="63"/>
      <c r="J23" s="63"/>
      <c r="K23" s="63"/>
      <c r="L23" s="63"/>
    </row>
    <row r="24" spans="1:12" ht="15" customHeight="1" x14ac:dyDescent="0.25">
      <c r="A24" s="185" t="str">
        <f>IF('Controlo de Propinas'!A24="","",'Controlo de Propinas'!A24)</f>
        <v/>
      </c>
      <c r="B24" s="185" t="str">
        <f>IF('Controlo de Propinas'!B24="","",'Controlo de Propinas'!B24)</f>
        <v/>
      </c>
      <c r="C24" s="185" t="str">
        <f>IF('Controlo de Propinas'!C24="","",'Controlo de Propinas'!C24)</f>
        <v/>
      </c>
      <c r="D24" s="63"/>
      <c r="E24" s="63"/>
      <c r="F24" s="185" t="str">
        <f>IF('Controlo de Propinas'!K24="","",'Controlo de Propinas'!K24)</f>
        <v/>
      </c>
      <c r="G24" s="64" t="str">
        <f t="shared" si="0"/>
        <v/>
      </c>
      <c r="H24" s="63"/>
      <c r="I24" s="63"/>
      <c r="J24" s="63"/>
      <c r="K24" s="63"/>
      <c r="L24" s="63"/>
    </row>
    <row r="25" spans="1:12" ht="15" customHeight="1" x14ac:dyDescent="0.25">
      <c r="A25" s="185" t="str">
        <f>IF('Controlo de Propinas'!A25="","",'Controlo de Propinas'!A25)</f>
        <v/>
      </c>
      <c r="B25" s="185" t="str">
        <f>IF('Controlo de Propinas'!B25="","",'Controlo de Propinas'!B25)</f>
        <v/>
      </c>
      <c r="C25" s="185" t="str">
        <f>IF('Controlo de Propinas'!C25="","",'Controlo de Propinas'!C25)</f>
        <v/>
      </c>
      <c r="D25" s="63"/>
      <c r="E25" s="63"/>
      <c r="F25" s="185" t="str">
        <f>IF('Controlo de Propinas'!K25="","",'Controlo de Propinas'!K25)</f>
        <v/>
      </c>
      <c r="G25" s="64" t="str">
        <f t="shared" si="0"/>
        <v/>
      </c>
      <c r="H25" s="63"/>
      <c r="I25" s="63"/>
      <c r="J25" s="63"/>
      <c r="K25" s="63"/>
      <c r="L25" s="63"/>
    </row>
    <row r="26" spans="1:12" ht="15" customHeight="1" x14ac:dyDescent="0.25">
      <c r="A26" s="185" t="str">
        <f>IF('Controlo de Propinas'!A26="","",'Controlo de Propinas'!A26)</f>
        <v/>
      </c>
      <c r="B26" s="185" t="str">
        <f>IF('Controlo de Propinas'!B26="","",'Controlo de Propinas'!B26)</f>
        <v/>
      </c>
      <c r="C26" s="185" t="str">
        <f>IF('Controlo de Propinas'!C26="","",'Controlo de Propinas'!C26)</f>
        <v/>
      </c>
      <c r="D26" s="63"/>
      <c r="E26" s="63"/>
      <c r="F26" s="185" t="str">
        <f>IF('Controlo de Propinas'!K26="","",'Controlo de Propinas'!K26)</f>
        <v/>
      </c>
      <c r="G26" s="64" t="str">
        <f t="shared" si="0"/>
        <v/>
      </c>
      <c r="H26" s="63"/>
      <c r="I26" s="63"/>
      <c r="J26" s="63"/>
      <c r="K26" s="63"/>
      <c r="L26" s="63"/>
    </row>
    <row r="27" spans="1:12" ht="15" customHeight="1" x14ac:dyDescent="0.25">
      <c r="A27" s="185" t="str">
        <f>IF('Controlo de Propinas'!A27="","",'Controlo de Propinas'!A27)</f>
        <v/>
      </c>
      <c r="B27" s="185" t="str">
        <f>IF('Controlo de Propinas'!B27="","",'Controlo de Propinas'!B27)</f>
        <v/>
      </c>
      <c r="C27" s="185" t="str">
        <f>IF('Controlo de Propinas'!C27="","",'Controlo de Propinas'!C27)</f>
        <v/>
      </c>
      <c r="D27" s="63"/>
      <c r="E27" s="63"/>
      <c r="F27" s="185" t="str">
        <f>IF('Controlo de Propinas'!K27="","",'Controlo de Propinas'!K27)</f>
        <v/>
      </c>
      <c r="G27" s="64" t="str">
        <f t="shared" si="0"/>
        <v/>
      </c>
      <c r="H27" s="63"/>
      <c r="I27" s="63"/>
      <c r="J27" s="63"/>
      <c r="K27" s="63"/>
      <c r="L27" s="63"/>
    </row>
    <row r="28" spans="1:12" ht="15" customHeight="1" x14ac:dyDescent="0.25">
      <c r="A28" s="185" t="str">
        <f>IF('Controlo de Propinas'!A28="","",'Controlo de Propinas'!A28)</f>
        <v/>
      </c>
      <c r="B28" s="185" t="str">
        <f>IF('Controlo de Propinas'!B28="","",'Controlo de Propinas'!B28)</f>
        <v/>
      </c>
      <c r="C28" s="185" t="str">
        <f>IF('Controlo de Propinas'!C28="","",'Controlo de Propinas'!C28)</f>
        <v/>
      </c>
      <c r="D28" s="63"/>
      <c r="E28" s="63"/>
      <c r="F28" s="185" t="str">
        <f>IF('Controlo de Propinas'!K28="","",'Controlo de Propinas'!K28)</f>
        <v/>
      </c>
      <c r="G28" s="64" t="str">
        <f t="shared" si="0"/>
        <v/>
      </c>
      <c r="H28" s="63"/>
      <c r="I28" s="63"/>
      <c r="J28" s="63"/>
      <c r="K28" s="63"/>
      <c r="L28" s="63"/>
    </row>
    <row r="29" spans="1:12" ht="15" customHeight="1" x14ac:dyDescent="0.25">
      <c r="A29" s="185" t="str">
        <f>IF('Controlo de Propinas'!A29="","",'Controlo de Propinas'!A29)</f>
        <v/>
      </c>
      <c r="B29" s="185" t="str">
        <f>IF('Controlo de Propinas'!B29="","",'Controlo de Propinas'!B29)</f>
        <v/>
      </c>
      <c r="C29" s="185" t="str">
        <f>IF('Controlo de Propinas'!C29="","",'Controlo de Propinas'!C29)</f>
        <v/>
      </c>
      <c r="D29" s="63"/>
      <c r="E29" s="63"/>
      <c r="F29" s="185" t="str">
        <f>IF('Controlo de Propinas'!K29="","",'Controlo de Propinas'!K29)</f>
        <v/>
      </c>
      <c r="G29" s="64" t="str">
        <f t="shared" si="0"/>
        <v/>
      </c>
      <c r="H29" s="63"/>
      <c r="I29" s="63"/>
      <c r="J29" s="63"/>
      <c r="K29" s="63"/>
      <c r="L29" s="63"/>
    </row>
    <row r="30" spans="1:12" ht="15" customHeight="1" x14ac:dyDescent="0.25">
      <c r="A30" s="185" t="str">
        <f>IF('Controlo de Propinas'!A30="","",'Controlo de Propinas'!A30)</f>
        <v/>
      </c>
      <c r="B30" s="185" t="str">
        <f>IF('Controlo de Propinas'!B30="","",'Controlo de Propinas'!B30)</f>
        <v/>
      </c>
      <c r="C30" s="185" t="str">
        <f>IF('Controlo de Propinas'!C30="","",'Controlo de Propinas'!C30)</f>
        <v/>
      </c>
      <c r="D30" s="63"/>
      <c r="E30" s="63"/>
      <c r="F30" s="185" t="str">
        <f>IF('Controlo de Propinas'!K30="","",'Controlo de Propinas'!K30)</f>
        <v/>
      </c>
      <c r="G30" s="64" t="str">
        <f t="shared" si="0"/>
        <v/>
      </c>
      <c r="H30" s="63"/>
      <c r="I30" s="63"/>
      <c r="J30" s="63"/>
      <c r="K30" s="63"/>
      <c r="L30" s="63"/>
    </row>
    <row r="31" spans="1:12" ht="15" customHeight="1" x14ac:dyDescent="0.25">
      <c r="A31" s="185" t="str">
        <f>IF('Controlo de Propinas'!A31="","",'Controlo de Propinas'!A31)</f>
        <v/>
      </c>
      <c r="B31" s="185" t="str">
        <f>IF('Controlo de Propinas'!B31="","",'Controlo de Propinas'!B31)</f>
        <v/>
      </c>
      <c r="C31" s="185" t="str">
        <f>IF('Controlo de Propinas'!C31="","",'Controlo de Propinas'!C31)</f>
        <v/>
      </c>
      <c r="D31" s="63"/>
      <c r="E31" s="63"/>
      <c r="F31" s="185" t="str">
        <f>IF('Controlo de Propinas'!K31="","",'Controlo de Propinas'!K31)</f>
        <v/>
      </c>
      <c r="G31" s="64" t="str">
        <f t="shared" si="0"/>
        <v/>
      </c>
      <c r="H31" s="63"/>
      <c r="I31" s="63"/>
      <c r="J31" s="63"/>
      <c r="K31" s="63"/>
      <c r="L31" s="63"/>
    </row>
    <row r="32" spans="1:12" ht="15" customHeight="1" x14ac:dyDescent="0.25">
      <c r="A32" s="185" t="str">
        <f>IF('Controlo de Propinas'!A32="","",'Controlo de Propinas'!A32)</f>
        <v/>
      </c>
      <c r="B32" s="185" t="str">
        <f>IF('Controlo de Propinas'!B32="","",'Controlo de Propinas'!B32)</f>
        <v/>
      </c>
      <c r="C32" s="185" t="str">
        <f>IF('Controlo de Propinas'!C32="","",'Controlo de Propinas'!C32)</f>
        <v/>
      </c>
      <c r="D32" s="63"/>
      <c r="E32" s="63"/>
      <c r="F32" s="185" t="str">
        <f>IF('Controlo de Propinas'!K32="","",'Controlo de Propinas'!K32)</f>
        <v/>
      </c>
      <c r="G32" s="64" t="str">
        <f t="shared" si="0"/>
        <v/>
      </c>
      <c r="H32" s="63"/>
      <c r="I32" s="63"/>
      <c r="J32" s="63"/>
      <c r="K32" s="63"/>
      <c r="L32" s="63"/>
    </row>
    <row r="33" spans="1:12" ht="15" customHeight="1" x14ac:dyDescent="0.25">
      <c r="A33" s="185" t="str">
        <f>IF('Controlo de Propinas'!A33="","",'Controlo de Propinas'!A33)</f>
        <v/>
      </c>
      <c r="B33" s="185" t="str">
        <f>IF('Controlo de Propinas'!B33="","",'Controlo de Propinas'!B33)</f>
        <v/>
      </c>
      <c r="C33" s="185" t="str">
        <f>IF('Controlo de Propinas'!C33="","",'Controlo de Propinas'!C33)</f>
        <v/>
      </c>
      <c r="D33" s="63"/>
      <c r="E33" s="63"/>
      <c r="F33" s="185" t="str">
        <f>IF('Controlo de Propinas'!K33="","",'Controlo de Propinas'!K33)</f>
        <v/>
      </c>
      <c r="G33" s="64" t="str">
        <f t="shared" si="0"/>
        <v/>
      </c>
      <c r="H33" s="63"/>
      <c r="I33" s="63"/>
      <c r="J33" s="63"/>
      <c r="K33" s="63"/>
      <c r="L33" s="63"/>
    </row>
    <row r="34" spans="1:12" ht="15" customHeight="1" x14ac:dyDescent="0.25">
      <c r="A34" s="185" t="str">
        <f>IF('Controlo de Propinas'!A34="","",'Controlo de Propinas'!A34)</f>
        <v/>
      </c>
      <c r="B34" s="185" t="str">
        <f>IF('Controlo de Propinas'!B34="","",'Controlo de Propinas'!B34)</f>
        <v/>
      </c>
      <c r="C34" s="185" t="str">
        <f>IF('Controlo de Propinas'!C34="","",'Controlo de Propinas'!C34)</f>
        <v/>
      </c>
      <c r="D34" s="63"/>
      <c r="E34" s="63"/>
      <c r="F34" s="185" t="str">
        <f>IF('Controlo de Propinas'!K34="","",'Controlo de Propinas'!K34)</f>
        <v/>
      </c>
      <c r="G34" s="64" t="str">
        <f t="shared" si="0"/>
        <v/>
      </c>
      <c r="H34" s="63"/>
      <c r="I34" s="63"/>
      <c r="J34" s="63"/>
      <c r="K34" s="63"/>
      <c r="L34" s="63"/>
    </row>
    <row r="35" spans="1:12" ht="15" customHeight="1" x14ac:dyDescent="0.25">
      <c r="A35" s="185" t="str">
        <f>IF('Controlo de Propinas'!A35="","",'Controlo de Propinas'!A35)</f>
        <v/>
      </c>
      <c r="B35" s="185" t="str">
        <f>IF('Controlo de Propinas'!B35="","",'Controlo de Propinas'!B35)</f>
        <v/>
      </c>
      <c r="C35" s="185" t="str">
        <f>IF('Controlo de Propinas'!C35="","",'Controlo de Propinas'!C35)</f>
        <v/>
      </c>
      <c r="D35" s="63"/>
      <c r="E35" s="63"/>
      <c r="F35" s="185" t="str">
        <f>IF('Controlo de Propinas'!K35="","",'Controlo de Propinas'!K35)</f>
        <v/>
      </c>
      <c r="G35" s="64" t="str">
        <f t="shared" si="0"/>
        <v/>
      </c>
      <c r="H35" s="63"/>
      <c r="I35" s="63"/>
      <c r="J35" s="63"/>
      <c r="K35" s="63"/>
      <c r="L35" s="63"/>
    </row>
    <row r="36" spans="1:12" ht="15" customHeight="1" x14ac:dyDescent="0.25">
      <c r="A36" s="185" t="str">
        <f>IF('Controlo de Propinas'!A36="","",'Controlo de Propinas'!A36)</f>
        <v/>
      </c>
      <c r="B36" s="185" t="str">
        <f>IF('Controlo de Propinas'!B36="","",'Controlo de Propinas'!B36)</f>
        <v/>
      </c>
      <c r="C36" s="185" t="str">
        <f>IF('Controlo de Propinas'!C36="","",'Controlo de Propinas'!C36)</f>
        <v/>
      </c>
      <c r="D36" s="63"/>
      <c r="E36" s="63"/>
      <c r="F36" s="185" t="str">
        <f>IF('Controlo de Propinas'!K36="","",'Controlo de Propinas'!K36)</f>
        <v/>
      </c>
      <c r="G36" s="64" t="str">
        <f t="shared" si="0"/>
        <v/>
      </c>
      <c r="H36" s="63"/>
      <c r="I36" s="63"/>
      <c r="J36" s="63"/>
      <c r="K36" s="63"/>
      <c r="L36" s="63"/>
    </row>
    <row r="37" spans="1:12" ht="15" customHeight="1" x14ac:dyDescent="0.25">
      <c r="A37" s="185" t="str">
        <f>IF('Controlo de Propinas'!A37="","",'Controlo de Propinas'!A37)</f>
        <v/>
      </c>
      <c r="B37" s="185" t="str">
        <f>IF('Controlo de Propinas'!B37="","",'Controlo de Propinas'!B37)</f>
        <v/>
      </c>
      <c r="C37" s="185" t="str">
        <f>IF('Controlo de Propinas'!C37="","",'Controlo de Propinas'!C37)</f>
        <v/>
      </c>
      <c r="D37" s="63"/>
      <c r="E37" s="63"/>
      <c r="F37" s="185" t="str">
        <f>IF('Controlo de Propinas'!K37="","",'Controlo de Propinas'!K37)</f>
        <v/>
      </c>
      <c r="G37" s="64" t="str">
        <f t="shared" si="0"/>
        <v/>
      </c>
      <c r="H37" s="63"/>
      <c r="I37" s="63"/>
      <c r="J37" s="63"/>
      <c r="K37" s="63"/>
      <c r="L37" s="63"/>
    </row>
    <row r="38" spans="1:12" ht="15" customHeight="1" x14ac:dyDescent="0.25">
      <c r="A38" s="185" t="str">
        <f>IF('Controlo de Propinas'!A38="","",'Controlo de Propinas'!A38)</f>
        <v/>
      </c>
      <c r="B38" s="185" t="str">
        <f>IF('Controlo de Propinas'!B38="","",'Controlo de Propinas'!B38)</f>
        <v/>
      </c>
      <c r="C38" s="185" t="str">
        <f>IF('Controlo de Propinas'!C38="","",'Controlo de Propinas'!C38)</f>
        <v/>
      </c>
      <c r="D38" s="63"/>
      <c r="E38" s="63"/>
      <c r="F38" s="185" t="str">
        <f>IF('Controlo de Propinas'!K38="","",'Controlo de Propinas'!K38)</f>
        <v/>
      </c>
      <c r="G38" s="64" t="str">
        <f t="shared" ref="G38:G69" si="1">IF(C38="","",IF(OR(C38="Maternelle",C38="Maternelle P1",C38="Maternelle P2",C38="Maternelle P3"),170000,IF(C38="CM2",250000,IF(C38="4eme",260000,170000))))</f>
        <v/>
      </c>
      <c r="H38" s="63"/>
      <c r="I38" s="63"/>
      <c r="J38" s="63"/>
      <c r="K38" s="63"/>
      <c r="L38" s="63"/>
    </row>
    <row r="39" spans="1:12" ht="15" customHeight="1" x14ac:dyDescent="0.25">
      <c r="A39" s="185" t="str">
        <f>IF('Controlo de Propinas'!A39="","",'Controlo de Propinas'!A39)</f>
        <v/>
      </c>
      <c r="B39" s="185" t="str">
        <f>IF('Controlo de Propinas'!B39="","",'Controlo de Propinas'!B39)</f>
        <v/>
      </c>
      <c r="C39" s="185" t="str">
        <f>IF('Controlo de Propinas'!C39="","",'Controlo de Propinas'!C39)</f>
        <v/>
      </c>
      <c r="D39" s="63"/>
      <c r="E39" s="63"/>
      <c r="F39" s="185" t="str">
        <f>IF('Controlo de Propinas'!K39="","",'Controlo de Propinas'!K39)</f>
        <v/>
      </c>
      <c r="G39" s="64" t="str">
        <f t="shared" si="1"/>
        <v/>
      </c>
      <c r="H39" s="63"/>
      <c r="I39" s="63"/>
      <c r="J39" s="63"/>
      <c r="K39" s="63"/>
      <c r="L39" s="63"/>
    </row>
    <row r="40" spans="1:12" ht="15" customHeight="1" x14ac:dyDescent="0.25">
      <c r="A40" s="185" t="str">
        <f>IF('Controlo de Propinas'!A40="","",'Controlo de Propinas'!A40)</f>
        <v/>
      </c>
      <c r="B40" s="185" t="str">
        <f>IF('Controlo de Propinas'!B40="","",'Controlo de Propinas'!B40)</f>
        <v/>
      </c>
      <c r="C40" s="185" t="str">
        <f>IF('Controlo de Propinas'!C40="","",'Controlo de Propinas'!C40)</f>
        <v/>
      </c>
      <c r="D40" s="63"/>
      <c r="E40" s="63"/>
      <c r="F40" s="185" t="str">
        <f>IF('Controlo de Propinas'!K40="","",'Controlo de Propinas'!K40)</f>
        <v/>
      </c>
      <c r="G40" s="64" t="str">
        <f t="shared" si="1"/>
        <v/>
      </c>
      <c r="H40" s="63"/>
      <c r="I40" s="63"/>
      <c r="J40" s="63"/>
      <c r="K40" s="63"/>
      <c r="L40" s="63"/>
    </row>
    <row r="41" spans="1:12" ht="15" customHeight="1" x14ac:dyDescent="0.25">
      <c r="A41" s="185" t="str">
        <f>IF('Controlo de Propinas'!A41="","",'Controlo de Propinas'!A41)</f>
        <v/>
      </c>
      <c r="B41" s="185" t="str">
        <f>IF('Controlo de Propinas'!B41="","",'Controlo de Propinas'!B41)</f>
        <v/>
      </c>
      <c r="C41" s="185" t="str">
        <f>IF('Controlo de Propinas'!C41="","",'Controlo de Propinas'!C41)</f>
        <v/>
      </c>
      <c r="D41" s="63"/>
      <c r="E41" s="63"/>
      <c r="F41" s="185" t="str">
        <f>IF('Controlo de Propinas'!K41="","",'Controlo de Propinas'!K41)</f>
        <v/>
      </c>
      <c r="G41" s="64" t="str">
        <f t="shared" si="1"/>
        <v/>
      </c>
      <c r="H41" s="63"/>
      <c r="I41" s="63"/>
      <c r="J41" s="63"/>
      <c r="K41" s="63"/>
      <c r="L41" s="63"/>
    </row>
    <row r="42" spans="1:12" ht="15" customHeight="1" x14ac:dyDescent="0.25">
      <c r="A42" s="185" t="str">
        <f>IF('Controlo de Propinas'!A42="","",'Controlo de Propinas'!A42)</f>
        <v/>
      </c>
      <c r="B42" s="185" t="str">
        <f>IF('Controlo de Propinas'!B42="","",'Controlo de Propinas'!B42)</f>
        <v/>
      </c>
      <c r="C42" s="185" t="str">
        <f>IF('Controlo de Propinas'!C42="","",'Controlo de Propinas'!C42)</f>
        <v/>
      </c>
      <c r="D42" s="63"/>
      <c r="E42" s="63"/>
      <c r="F42" s="185" t="str">
        <f>IF('Controlo de Propinas'!K42="","",'Controlo de Propinas'!K42)</f>
        <v/>
      </c>
      <c r="G42" s="64" t="str">
        <f t="shared" si="1"/>
        <v/>
      </c>
      <c r="H42" s="63"/>
      <c r="I42" s="63"/>
      <c r="J42" s="63"/>
      <c r="K42" s="63"/>
      <c r="L42" s="63"/>
    </row>
    <row r="43" spans="1:12" ht="15" customHeight="1" x14ac:dyDescent="0.25">
      <c r="A43" s="185" t="str">
        <f>IF('Controlo de Propinas'!A43="","",'Controlo de Propinas'!A43)</f>
        <v/>
      </c>
      <c r="B43" s="185" t="str">
        <f>IF('Controlo de Propinas'!B43="","",'Controlo de Propinas'!B43)</f>
        <v/>
      </c>
      <c r="C43" s="185" t="str">
        <f>IF('Controlo de Propinas'!C43="","",'Controlo de Propinas'!C43)</f>
        <v/>
      </c>
      <c r="D43" s="63"/>
      <c r="E43" s="63"/>
      <c r="F43" s="185" t="str">
        <f>IF('Controlo de Propinas'!K43="","",'Controlo de Propinas'!K43)</f>
        <v/>
      </c>
      <c r="G43" s="64" t="str">
        <f t="shared" si="1"/>
        <v/>
      </c>
      <c r="H43" s="63"/>
      <c r="I43" s="63"/>
      <c r="J43" s="63"/>
      <c r="K43" s="63"/>
      <c r="L43" s="63"/>
    </row>
    <row r="44" spans="1:12" ht="15" customHeight="1" x14ac:dyDescent="0.25">
      <c r="A44" s="185" t="str">
        <f>IF('Controlo de Propinas'!A44="","",'Controlo de Propinas'!A44)</f>
        <v/>
      </c>
      <c r="B44" s="185" t="str">
        <f>IF('Controlo de Propinas'!B44="","",'Controlo de Propinas'!B44)</f>
        <v/>
      </c>
      <c r="C44" s="185" t="str">
        <f>IF('Controlo de Propinas'!C44="","",'Controlo de Propinas'!C44)</f>
        <v/>
      </c>
      <c r="D44" s="63"/>
      <c r="E44" s="63"/>
      <c r="F44" s="185" t="str">
        <f>IF('Controlo de Propinas'!K44="","",'Controlo de Propinas'!K44)</f>
        <v/>
      </c>
      <c r="G44" s="64" t="str">
        <f t="shared" si="1"/>
        <v/>
      </c>
      <c r="H44" s="63"/>
      <c r="I44" s="63"/>
      <c r="J44" s="63"/>
      <c r="K44" s="63"/>
      <c r="L44" s="63"/>
    </row>
    <row r="45" spans="1:12" ht="15" customHeight="1" x14ac:dyDescent="0.25">
      <c r="A45" s="185" t="str">
        <f>IF('Controlo de Propinas'!A45="","",'Controlo de Propinas'!A45)</f>
        <v/>
      </c>
      <c r="B45" s="185" t="str">
        <f>IF('Controlo de Propinas'!B45="","",'Controlo de Propinas'!B45)</f>
        <v/>
      </c>
      <c r="C45" s="185" t="str">
        <f>IF('Controlo de Propinas'!C45="","",'Controlo de Propinas'!C45)</f>
        <v/>
      </c>
      <c r="D45" s="63"/>
      <c r="E45" s="63"/>
      <c r="F45" s="185" t="str">
        <f>IF('Controlo de Propinas'!K45="","",'Controlo de Propinas'!K45)</f>
        <v/>
      </c>
      <c r="G45" s="64" t="str">
        <f t="shared" si="1"/>
        <v/>
      </c>
      <c r="H45" s="63"/>
      <c r="I45" s="63"/>
      <c r="J45" s="63"/>
      <c r="K45" s="63"/>
      <c r="L45" s="63"/>
    </row>
    <row r="46" spans="1:12" ht="15" customHeight="1" x14ac:dyDescent="0.25">
      <c r="A46" s="185" t="str">
        <f>IF('Controlo de Propinas'!A46="","",'Controlo de Propinas'!A46)</f>
        <v/>
      </c>
      <c r="B46" s="185" t="str">
        <f>IF('Controlo de Propinas'!B46="","",'Controlo de Propinas'!B46)</f>
        <v/>
      </c>
      <c r="C46" s="185" t="str">
        <f>IF('Controlo de Propinas'!C46="","",'Controlo de Propinas'!C46)</f>
        <v/>
      </c>
      <c r="D46" s="63"/>
      <c r="E46" s="63"/>
      <c r="F46" s="185" t="str">
        <f>IF('Controlo de Propinas'!K46="","",'Controlo de Propinas'!K46)</f>
        <v/>
      </c>
      <c r="G46" s="64" t="str">
        <f t="shared" si="1"/>
        <v/>
      </c>
      <c r="H46" s="63"/>
      <c r="I46" s="63"/>
      <c r="J46" s="63"/>
      <c r="K46" s="63"/>
      <c r="L46" s="63"/>
    </row>
    <row r="47" spans="1:12" ht="15" customHeight="1" x14ac:dyDescent="0.25">
      <c r="A47" s="185" t="str">
        <f>IF('Controlo de Propinas'!A47="","",'Controlo de Propinas'!A47)</f>
        <v/>
      </c>
      <c r="B47" s="185" t="str">
        <f>IF('Controlo de Propinas'!B47="","",'Controlo de Propinas'!B47)</f>
        <v/>
      </c>
      <c r="C47" s="185" t="str">
        <f>IF('Controlo de Propinas'!C47="","",'Controlo de Propinas'!C47)</f>
        <v/>
      </c>
      <c r="D47" s="63"/>
      <c r="E47" s="63"/>
      <c r="F47" s="185" t="str">
        <f>IF('Controlo de Propinas'!K47="","",'Controlo de Propinas'!K47)</f>
        <v/>
      </c>
      <c r="G47" s="64" t="str">
        <f t="shared" si="1"/>
        <v/>
      </c>
      <c r="H47" s="63"/>
      <c r="I47" s="63"/>
      <c r="J47" s="63"/>
      <c r="K47" s="63"/>
      <c r="L47" s="63"/>
    </row>
    <row r="48" spans="1:12" ht="15" customHeight="1" x14ac:dyDescent="0.25">
      <c r="A48" s="185" t="str">
        <f>IF('Controlo de Propinas'!A48="","",'Controlo de Propinas'!A48)</f>
        <v/>
      </c>
      <c r="B48" s="185" t="str">
        <f>IF('Controlo de Propinas'!B48="","",'Controlo de Propinas'!B48)</f>
        <v/>
      </c>
      <c r="C48" s="185" t="str">
        <f>IF('Controlo de Propinas'!C48="","",'Controlo de Propinas'!C48)</f>
        <v/>
      </c>
      <c r="D48" s="63"/>
      <c r="E48" s="63"/>
      <c r="F48" s="185" t="str">
        <f>IF('Controlo de Propinas'!K48="","",'Controlo de Propinas'!K48)</f>
        <v/>
      </c>
      <c r="G48" s="64" t="str">
        <f t="shared" si="1"/>
        <v/>
      </c>
      <c r="H48" s="63"/>
      <c r="I48" s="63"/>
      <c r="J48" s="63"/>
      <c r="K48" s="63"/>
      <c r="L48" s="63"/>
    </row>
    <row r="49" spans="1:12" ht="15" customHeight="1" x14ac:dyDescent="0.25">
      <c r="A49" s="185" t="str">
        <f>IF('Controlo de Propinas'!A49="","",'Controlo de Propinas'!A49)</f>
        <v/>
      </c>
      <c r="B49" s="185" t="str">
        <f>IF('Controlo de Propinas'!B49="","",'Controlo de Propinas'!B49)</f>
        <v/>
      </c>
      <c r="C49" s="185" t="str">
        <f>IF('Controlo de Propinas'!C49="","",'Controlo de Propinas'!C49)</f>
        <v/>
      </c>
      <c r="D49" s="63"/>
      <c r="E49" s="63"/>
      <c r="F49" s="185" t="str">
        <f>IF('Controlo de Propinas'!K49="","",'Controlo de Propinas'!K49)</f>
        <v/>
      </c>
      <c r="G49" s="64" t="str">
        <f t="shared" si="1"/>
        <v/>
      </c>
      <c r="H49" s="63"/>
      <c r="I49" s="63"/>
      <c r="J49" s="63"/>
      <c r="K49" s="63"/>
      <c r="L49" s="63"/>
    </row>
    <row r="50" spans="1:12" ht="15" customHeight="1" x14ac:dyDescent="0.25">
      <c r="A50" s="185" t="str">
        <f>IF('Controlo de Propinas'!A50="","",'Controlo de Propinas'!A50)</f>
        <v/>
      </c>
      <c r="B50" s="185" t="str">
        <f>IF('Controlo de Propinas'!B50="","",'Controlo de Propinas'!B50)</f>
        <v/>
      </c>
      <c r="C50" s="185" t="str">
        <f>IF('Controlo de Propinas'!C50="","",'Controlo de Propinas'!C50)</f>
        <v/>
      </c>
      <c r="D50" s="63"/>
      <c r="E50" s="63"/>
      <c r="F50" s="185" t="str">
        <f>IF('Controlo de Propinas'!K50="","",'Controlo de Propinas'!K50)</f>
        <v/>
      </c>
      <c r="G50" s="64" t="str">
        <f t="shared" si="1"/>
        <v/>
      </c>
      <c r="H50" s="63"/>
      <c r="I50" s="63"/>
      <c r="J50" s="63"/>
      <c r="K50" s="63"/>
      <c r="L50" s="63"/>
    </row>
    <row r="51" spans="1:12" ht="15" customHeight="1" x14ac:dyDescent="0.25">
      <c r="A51" s="185" t="str">
        <f>IF('Controlo de Propinas'!A51="","",'Controlo de Propinas'!A51)</f>
        <v/>
      </c>
      <c r="B51" s="185" t="str">
        <f>IF('Controlo de Propinas'!B51="","",'Controlo de Propinas'!B51)</f>
        <v/>
      </c>
      <c r="C51" s="185" t="str">
        <f>IF('Controlo de Propinas'!C51="","",'Controlo de Propinas'!C51)</f>
        <v/>
      </c>
      <c r="D51" s="63"/>
      <c r="E51" s="63"/>
      <c r="F51" s="185" t="str">
        <f>IF('Controlo de Propinas'!K51="","",'Controlo de Propinas'!K51)</f>
        <v/>
      </c>
      <c r="G51" s="64" t="str">
        <f t="shared" si="1"/>
        <v/>
      </c>
      <c r="H51" s="63"/>
      <c r="I51" s="63"/>
      <c r="J51" s="63"/>
      <c r="K51" s="63"/>
      <c r="L51" s="63"/>
    </row>
    <row r="52" spans="1:12" ht="15" customHeight="1" x14ac:dyDescent="0.25">
      <c r="A52" s="185" t="str">
        <f>IF('Controlo de Propinas'!A52="","",'Controlo de Propinas'!A52)</f>
        <v/>
      </c>
      <c r="B52" s="185" t="str">
        <f>IF('Controlo de Propinas'!B52="","",'Controlo de Propinas'!B52)</f>
        <v/>
      </c>
      <c r="C52" s="185" t="str">
        <f>IF('Controlo de Propinas'!C52="","",'Controlo de Propinas'!C52)</f>
        <v/>
      </c>
      <c r="D52" s="63"/>
      <c r="E52" s="63"/>
      <c r="F52" s="185" t="str">
        <f>IF('Controlo de Propinas'!K52="","",'Controlo de Propinas'!K52)</f>
        <v/>
      </c>
      <c r="G52" s="64" t="str">
        <f t="shared" si="1"/>
        <v/>
      </c>
      <c r="H52" s="63"/>
      <c r="I52" s="63"/>
      <c r="J52" s="63"/>
      <c r="K52" s="63"/>
      <c r="L52" s="63"/>
    </row>
    <row r="53" spans="1:12" ht="15" customHeight="1" x14ac:dyDescent="0.25">
      <c r="A53" s="185" t="str">
        <f>IF('Controlo de Propinas'!A53="","",'Controlo de Propinas'!A53)</f>
        <v/>
      </c>
      <c r="B53" s="185" t="str">
        <f>IF('Controlo de Propinas'!B53="","",'Controlo de Propinas'!B53)</f>
        <v/>
      </c>
      <c r="C53" s="185" t="str">
        <f>IF('Controlo de Propinas'!C53="","",'Controlo de Propinas'!C53)</f>
        <v/>
      </c>
      <c r="D53" s="63"/>
      <c r="E53" s="63"/>
      <c r="F53" s="185" t="str">
        <f>IF('Controlo de Propinas'!K53="","",'Controlo de Propinas'!K53)</f>
        <v/>
      </c>
      <c r="G53" s="64" t="str">
        <f t="shared" si="1"/>
        <v/>
      </c>
      <c r="H53" s="63"/>
      <c r="I53" s="63"/>
      <c r="J53" s="63"/>
      <c r="K53" s="63"/>
      <c r="L53" s="63"/>
    </row>
    <row r="54" spans="1:12" ht="15" customHeight="1" x14ac:dyDescent="0.25">
      <c r="A54" s="185" t="str">
        <f>IF('Controlo de Propinas'!A54="","",'Controlo de Propinas'!A54)</f>
        <v/>
      </c>
      <c r="B54" s="185" t="str">
        <f>IF('Controlo de Propinas'!B54="","",'Controlo de Propinas'!B54)</f>
        <v/>
      </c>
      <c r="C54" s="185" t="str">
        <f>IF('Controlo de Propinas'!C54="","",'Controlo de Propinas'!C54)</f>
        <v/>
      </c>
      <c r="D54" s="63"/>
      <c r="E54" s="63"/>
      <c r="F54" s="185" t="str">
        <f>IF('Controlo de Propinas'!K54="","",'Controlo de Propinas'!K54)</f>
        <v/>
      </c>
      <c r="G54" s="64" t="str">
        <f t="shared" si="1"/>
        <v/>
      </c>
      <c r="H54" s="63"/>
      <c r="I54" s="63"/>
      <c r="J54" s="63"/>
      <c r="K54" s="63"/>
      <c r="L54" s="63"/>
    </row>
    <row r="55" spans="1:12" ht="15" customHeight="1" x14ac:dyDescent="0.25">
      <c r="A55" s="185" t="str">
        <f>IF('Controlo de Propinas'!A55="","",'Controlo de Propinas'!A55)</f>
        <v/>
      </c>
      <c r="B55" s="185" t="str">
        <f>IF('Controlo de Propinas'!B55="","",'Controlo de Propinas'!B55)</f>
        <v/>
      </c>
      <c r="C55" s="185" t="str">
        <f>IF('Controlo de Propinas'!C55="","",'Controlo de Propinas'!C55)</f>
        <v/>
      </c>
      <c r="D55" s="63"/>
      <c r="E55" s="63"/>
      <c r="F55" s="185" t="str">
        <f>IF('Controlo de Propinas'!K55="","",'Controlo de Propinas'!K55)</f>
        <v/>
      </c>
      <c r="G55" s="64" t="str">
        <f t="shared" si="1"/>
        <v/>
      </c>
      <c r="H55" s="63"/>
      <c r="I55" s="63"/>
      <c r="J55" s="63"/>
      <c r="K55" s="63"/>
      <c r="L55" s="63"/>
    </row>
    <row r="56" spans="1:12" ht="15" customHeight="1" x14ac:dyDescent="0.25">
      <c r="A56" s="185" t="str">
        <f>IF('Controlo de Propinas'!A56="","",'Controlo de Propinas'!A56)</f>
        <v/>
      </c>
      <c r="B56" s="185" t="str">
        <f>IF('Controlo de Propinas'!B56="","",'Controlo de Propinas'!B56)</f>
        <v/>
      </c>
      <c r="C56" s="185" t="str">
        <f>IF('Controlo de Propinas'!C56="","",'Controlo de Propinas'!C56)</f>
        <v/>
      </c>
      <c r="D56" s="63"/>
      <c r="E56" s="63"/>
      <c r="F56" s="185" t="str">
        <f>IF('Controlo de Propinas'!K56="","",'Controlo de Propinas'!K56)</f>
        <v/>
      </c>
      <c r="G56" s="64" t="str">
        <f t="shared" si="1"/>
        <v/>
      </c>
      <c r="H56" s="63"/>
      <c r="I56" s="63"/>
      <c r="J56" s="63"/>
      <c r="K56" s="63"/>
      <c r="L56" s="63"/>
    </row>
    <row r="57" spans="1:12" ht="15" customHeight="1" x14ac:dyDescent="0.25">
      <c r="A57" s="185" t="str">
        <f>IF('Controlo de Propinas'!A57="","",'Controlo de Propinas'!A57)</f>
        <v/>
      </c>
      <c r="B57" s="185" t="str">
        <f>IF('Controlo de Propinas'!B57="","",'Controlo de Propinas'!B57)</f>
        <v/>
      </c>
      <c r="C57" s="185" t="str">
        <f>IF('Controlo de Propinas'!C57="","",'Controlo de Propinas'!C57)</f>
        <v/>
      </c>
      <c r="D57" s="63"/>
      <c r="E57" s="63"/>
      <c r="F57" s="185" t="str">
        <f>IF('Controlo de Propinas'!K57="","",'Controlo de Propinas'!K57)</f>
        <v/>
      </c>
      <c r="G57" s="64" t="str">
        <f t="shared" si="1"/>
        <v/>
      </c>
      <c r="H57" s="63"/>
      <c r="I57" s="63"/>
      <c r="J57" s="63"/>
      <c r="K57" s="63"/>
      <c r="L57" s="63"/>
    </row>
    <row r="58" spans="1:12" ht="15" customHeight="1" x14ac:dyDescent="0.25">
      <c r="A58" s="185" t="str">
        <f>IF('Controlo de Propinas'!A58="","",'Controlo de Propinas'!A58)</f>
        <v/>
      </c>
      <c r="B58" s="185" t="str">
        <f>IF('Controlo de Propinas'!B58="","",'Controlo de Propinas'!B58)</f>
        <v/>
      </c>
      <c r="C58" s="185" t="str">
        <f>IF('Controlo de Propinas'!C58="","",'Controlo de Propinas'!C58)</f>
        <v/>
      </c>
      <c r="D58" s="63"/>
      <c r="E58" s="63"/>
      <c r="F58" s="185" t="str">
        <f>IF('Controlo de Propinas'!K58="","",'Controlo de Propinas'!K58)</f>
        <v/>
      </c>
      <c r="G58" s="64" t="str">
        <f t="shared" si="1"/>
        <v/>
      </c>
      <c r="H58" s="63"/>
      <c r="I58" s="63"/>
      <c r="J58" s="63"/>
      <c r="K58" s="63"/>
      <c r="L58" s="63"/>
    </row>
    <row r="59" spans="1:12" ht="15" customHeight="1" x14ac:dyDescent="0.25">
      <c r="A59" s="185" t="str">
        <f>IF('Controlo de Propinas'!A59="","",'Controlo de Propinas'!A59)</f>
        <v/>
      </c>
      <c r="B59" s="185" t="str">
        <f>IF('Controlo de Propinas'!B59="","",'Controlo de Propinas'!B59)</f>
        <v/>
      </c>
      <c r="C59" s="185" t="str">
        <f>IF('Controlo de Propinas'!C59="","",'Controlo de Propinas'!C59)</f>
        <v/>
      </c>
      <c r="D59" s="63"/>
      <c r="E59" s="63"/>
      <c r="F59" s="185" t="str">
        <f>IF('Controlo de Propinas'!K59="","",'Controlo de Propinas'!K59)</f>
        <v/>
      </c>
      <c r="G59" s="64" t="str">
        <f t="shared" si="1"/>
        <v/>
      </c>
      <c r="H59" s="63"/>
      <c r="I59" s="63"/>
      <c r="J59" s="63"/>
      <c r="K59" s="63"/>
      <c r="L59" s="63"/>
    </row>
    <row r="60" spans="1:12" ht="15" customHeight="1" x14ac:dyDescent="0.25">
      <c r="A60" s="185" t="str">
        <f>IF('Controlo de Propinas'!A60="","",'Controlo de Propinas'!A60)</f>
        <v/>
      </c>
      <c r="B60" s="185" t="str">
        <f>IF('Controlo de Propinas'!B60="","",'Controlo de Propinas'!B60)</f>
        <v/>
      </c>
      <c r="C60" s="185" t="str">
        <f>IF('Controlo de Propinas'!C60="","",'Controlo de Propinas'!C60)</f>
        <v/>
      </c>
      <c r="D60" s="63"/>
      <c r="E60" s="63"/>
      <c r="F60" s="185" t="str">
        <f>IF('Controlo de Propinas'!K60="","",'Controlo de Propinas'!K60)</f>
        <v/>
      </c>
      <c r="G60" s="64" t="str">
        <f t="shared" si="1"/>
        <v/>
      </c>
      <c r="H60" s="63"/>
      <c r="I60" s="63"/>
      <c r="J60" s="63"/>
      <c r="K60" s="63"/>
      <c r="L60" s="63"/>
    </row>
    <row r="61" spans="1:12" ht="15" customHeight="1" x14ac:dyDescent="0.25">
      <c r="A61" s="185" t="str">
        <f>IF('Controlo de Propinas'!A61="","",'Controlo de Propinas'!A61)</f>
        <v/>
      </c>
      <c r="B61" s="185" t="str">
        <f>IF('Controlo de Propinas'!B61="","",'Controlo de Propinas'!B61)</f>
        <v/>
      </c>
      <c r="C61" s="185" t="str">
        <f>IF('Controlo de Propinas'!C61="","",'Controlo de Propinas'!C61)</f>
        <v/>
      </c>
      <c r="D61" s="63"/>
      <c r="E61" s="63"/>
      <c r="F61" s="185" t="str">
        <f>IF('Controlo de Propinas'!K61="","",'Controlo de Propinas'!K61)</f>
        <v/>
      </c>
      <c r="G61" s="64" t="str">
        <f t="shared" si="1"/>
        <v/>
      </c>
      <c r="H61" s="63"/>
      <c r="I61" s="63"/>
      <c r="J61" s="63"/>
      <c r="K61" s="63"/>
      <c r="L61" s="63"/>
    </row>
    <row r="62" spans="1:12" ht="15" customHeight="1" x14ac:dyDescent="0.25">
      <c r="A62" s="185" t="str">
        <f>IF('Controlo de Propinas'!A62="","",'Controlo de Propinas'!A62)</f>
        <v/>
      </c>
      <c r="B62" s="185" t="str">
        <f>IF('Controlo de Propinas'!B62="","",'Controlo de Propinas'!B62)</f>
        <v/>
      </c>
      <c r="C62" s="185" t="str">
        <f>IF('Controlo de Propinas'!C62="","",'Controlo de Propinas'!C62)</f>
        <v/>
      </c>
      <c r="D62" s="63"/>
      <c r="E62" s="63"/>
      <c r="F62" s="185" t="str">
        <f>IF('Controlo de Propinas'!K62="","",'Controlo de Propinas'!K62)</f>
        <v/>
      </c>
      <c r="G62" s="64" t="str">
        <f t="shared" si="1"/>
        <v/>
      </c>
      <c r="H62" s="63"/>
      <c r="I62" s="63"/>
      <c r="J62" s="63"/>
      <c r="K62" s="63"/>
      <c r="L62" s="63"/>
    </row>
    <row r="63" spans="1:12" ht="15" customHeight="1" x14ac:dyDescent="0.25">
      <c r="A63" s="185" t="str">
        <f>IF('Controlo de Propinas'!A63="","",'Controlo de Propinas'!A63)</f>
        <v/>
      </c>
      <c r="B63" s="185" t="str">
        <f>IF('Controlo de Propinas'!B63="","",'Controlo de Propinas'!B63)</f>
        <v/>
      </c>
      <c r="C63" s="185" t="str">
        <f>IF('Controlo de Propinas'!C63="","",'Controlo de Propinas'!C63)</f>
        <v/>
      </c>
      <c r="D63" s="63"/>
      <c r="E63" s="63"/>
      <c r="F63" s="185" t="str">
        <f>IF('Controlo de Propinas'!K63="","",'Controlo de Propinas'!K63)</f>
        <v/>
      </c>
      <c r="G63" s="64" t="str">
        <f t="shared" si="1"/>
        <v/>
      </c>
      <c r="H63" s="63"/>
      <c r="I63" s="63"/>
      <c r="J63" s="63"/>
      <c r="K63" s="63"/>
      <c r="L63" s="63"/>
    </row>
    <row r="64" spans="1:12" ht="15" customHeight="1" x14ac:dyDescent="0.25">
      <c r="A64" s="185" t="str">
        <f>IF('Controlo de Propinas'!A64="","",'Controlo de Propinas'!A64)</f>
        <v/>
      </c>
      <c r="B64" s="185" t="str">
        <f>IF('Controlo de Propinas'!B64="","",'Controlo de Propinas'!B64)</f>
        <v/>
      </c>
      <c r="C64" s="185" t="str">
        <f>IF('Controlo de Propinas'!C64="","",'Controlo de Propinas'!C64)</f>
        <v/>
      </c>
      <c r="D64" s="63"/>
      <c r="E64" s="63"/>
      <c r="F64" s="185" t="str">
        <f>IF('Controlo de Propinas'!K64="","",'Controlo de Propinas'!K64)</f>
        <v/>
      </c>
      <c r="G64" s="64" t="str">
        <f t="shared" si="1"/>
        <v/>
      </c>
      <c r="H64" s="63"/>
      <c r="I64" s="63"/>
      <c r="J64" s="63"/>
      <c r="K64" s="63"/>
      <c r="L64" s="63"/>
    </row>
    <row r="65" spans="1:12" ht="15" customHeight="1" x14ac:dyDescent="0.25">
      <c r="A65" s="185" t="str">
        <f>IF('Controlo de Propinas'!A65="","",'Controlo de Propinas'!A65)</f>
        <v/>
      </c>
      <c r="B65" s="185" t="str">
        <f>IF('Controlo de Propinas'!B65="","",'Controlo de Propinas'!B65)</f>
        <v/>
      </c>
      <c r="C65" s="185" t="str">
        <f>IF('Controlo de Propinas'!C65="","",'Controlo de Propinas'!C65)</f>
        <v/>
      </c>
      <c r="D65" s="63"/>
      <c r="E65" s="63"/>
      <c r="F65" s="185" t="str">
        <f>IF('Controlo de Propinas'!K65="","",'Controlo de Propinas'!K65)</f>
        <v/>
      </c>
      <c r="G65" s="64" t="str">
        <f t="shared" si="1"/>
        <v/>
      </c>
      <c r="H65" s="63"/>
      <c r="I65" s="63"/>
      <c r="J65" s="63"/>
      <c r="K65" s="63"/>
      <c r="L65" s="63"/>
    </row>
    <row r="66" spans="1:12" ht="15" customHeight="1" x14ac:dyDescent="0.25">
      <c r="A66" s="185" t="str">
        <f>IF('Controlo de Propinas'!A66="","",'Controlo de Propinas'!A66)</f>
        <v/>
      </c>
      <c r="B66" s="185" t="str">
        <f>IF('Controlo de Propinas'!B66="","",'Controlo de Propinas'!B66)</f>
        <v/>
      </c>
      <c r="C66" s="185" t="str">
        <f>IF('Controlo de Propinas'!C66="","",'Controlo de Propinas'!C66)</f>
        <v/>
      </c>
      <c r="D66" s="63"/>
      <c r="E66" s="63"/>
      <c r="F66" s="185" t="str">
        <f>IF('Controlo de Propinas'!K66="","",'Controlo de Propinas'!K66)</f>
        <v/>
      </c>
      <c r="G66" s="64" t="str">
        <f t="shared" si="1"/>
        <v/>
      </c>
      <c r="H66" s="63"/>
      <c r="I66" s="63"/>
      <c r="J66" s="63"/>
      <c r="K66" s="63"/>
      <c r="L66" s="63"/>
    </row>
    <row r="67" spans="1:12" ht="15" customHeight="1" x14ac:dyDescent="0.25">
      <c r="A67" s="185" t="str">
        <f>IF('Controlo de Propinas'!A67="","",'Controlo de Propinas'!A67)</f>
        <v/>
      </c>
      <c r="B67" s="185" t="str">
        <f>IF('Controlo de Propinas'!B67="","",'Controlo de Propinas'!B67)</f>
        <v/>
      </c>
      <c r="C67" s="185" t="str">
        <f>IF('Controlo de Propinas'!C67="","",'Controlo de Propinas'!C67)</f>
        <v/>
      </c>
      <c r="D67" s="63"/>
      <c r="E67" s="63"/>
      <c r="F67" s="185" t="str">
        <f>IF('Controlo de Propinas'!K67="","",'Controlo de Propinas'!K67)</f>
        <v/>
      </c>
      <c r="G67" s="64" t="str">
        <f t="shared" si="1"/>
        <v/>
      </c>
      <c r="H67" s="63"/>
      <c r="I67" s="63"/>
      <c r="J67" s="63"/>
      <c r="K67" s="63"/>
      <c r="L67" s="63"/>
    </row>
    <row r="68" spans="1:12" ht="15" customHeight="1" x14ac:dyDescent="0.25">
      <c r="A68" s="185" t="str">
        <f>IF('Controlo de Propinas'!A68="","",'Controlo de Propinas'!A68)</f>
        <v/>
      </c>
      <c r="B68" s="185" t="str">
        <f>IF('Controlo de Propinas'!B68="","",'Controlo de Propinas'!B68)</f>
        <v/>
      </c>
      <c r="C68" s="185" t="str">
        <f>IF('Controlo de Propinas'!C68="","",'Controlo de Propinas'!C68)</f>
        <v/>
      </c>
      <c r="D68" s="63"/>
      <c r="E68" s="63"/>
      <c r="F68" s="185" t="str">
        <f>IF('Controlo de Propinas'!K68="","",'Controlo de Propinas'!K68)</f>
        <v/>
      </c>
      <c r="G68" s="64" t="str">
        <f t="shared" si="1"/>
        <v/>
      </c>
      <c r="H68" s="63"/>
      <c r="I68" s="63"/>
      <c r="J68" s="63"/>
      <c r="K68" s="63"/>
      <c r="L68" s="63"/>
    </row>
    <row r="69" spans="1:12" ht="15" customHeight="1" x14ac:dyDescent="0.25">
      <c r="A69" s="185" t="str">
        <f>IF('Controlo de Propinas'!A69="","",'Controlo de Propinas'!A69)</f>
        <v/>
      </c>
      <c r="B69" s="185" t="str">
        <f>IF('Controlo de Propinas'!B69="","",'Controlo de Propinas'!B69)</f>
        <v/>
      </c>
      <c r="C69" s="185" t="str">
        <f>IF('Controlo de Propinas'!C69="","",'Controlo de Propinas'!C69)</f>
        <v/>
      </c>
      <c r="D69" s="63"/>
      <c r="E69" s="63"/>
      <c r="F69" s="185" t="str">
        <f>IF('Controlo de Propinas'!K69="","",'Controlo de Propinas'!K69)</f>
        <v/>
      </c>
      <c r="G69" s="64" t="str">
        <f t="shared" si="1"/>
        <v/>
      </c>
      <c r="H69" s="63"/>
      <c r="I69" s="63"/>
      <c r="J69" s="63"/>
      <c r="K69" s="63"/>
      <c r="L69" s="63"/>
    </row>
    <row r="70" spans="1:12" ht="15" customHeight="1" x14ac:dyDescent="0.25">
      <c r="A70" s="185" t="str">
        <f>IF('Controlo de Propinas'!A70="","",'Controlo de Propinas'!A70)</f>
        <v/>
      </c>
      <c r="B70" s="185" t="str">
        <f>IF('Controlo de Propinas'!B70="","",'Controlo de Propinas'!B70)</f>
        <v/>
      </c>
      <c r="C70" s="185" t="str">
        <f>IF('Controlo de Propinas'!C70="","",'Controlo de Propinas'!C70)</f>
        <v/>
      </c>
      <c r="D70" s="63"/>
      <c r="E70" s="63"/>
      <c r="F70" s="185" t="str">
        <f>IF('Controlo de Propinas'!K70="","",'Controlo de Propinas'!K70)</f>
        <v/>
      </c>
      <c r="G70" s="64" t="str">
        <f t="shared" ref="G70:G105" si="2">IF(C70="","",IF(OR(C70="Maternelle",C70="Maternelle P1",C70="Maternelle P2",C70="Maternelle P3"),170000,IF(C70="CM2",250000,IF(C70="4eme",260000,170000))))</f>
        <v/>
      </c>
      <c r="H70" s="63"/>
      <c r="I70" s="63"/>
      <c r="J70" s="63"/>
      <c r="K70" s="63"/>
      <c r="L70" s="63"/>
    </row>
    <row r="71" spans="1:12" ht="15" customHeight="1" x14ac:dyDescent="0.25">
      <c r="A71" s="185" t="str">
        <f>IF('Controlo de Propinas'!A71="","",'Controlo de Propinas'!A71)</f>
        <v/>
      </c>
      <c r="B71" s="185" t="str">
        <f>IF('Controlo de Propinas'!B71="","",'Controlo de Propinas'!B71)</f>
        <v/>
      </c>
      <c r="C71" s="185" t="str">
        <f>IF('Controlo de Propinas'!C71="","",'Controlo de Propinas'!C71)</f>
        <v/>
      </c>
      <c r="D71" s="63"/>
      <c r="E71" s="63"/>
      <c r="F71" s="185" t="str">
        <f>IF('Controlo de Propinas'!K71="","",'Controlo de Propinas'!K71)</f>
        <v/>
      </c>
      <c r="G71" s="64" t="str">
        <f t="shared" si="2"/>
        <v/>
      </c>
      <c r="H71" s="63"/>
      <c r="I71" s="63"/>
      <c r="J71" s="63"/>
      <c r="K71" s="63"/>
      <c r="L71" s="63"/>
    </row>
    <row r="72" spans="1:12" ht="15" customHeight="1" x14ac:dyDescent="0.25">
      <c r="A72" s="185" t="str">
        <f>IF('Controlo de Propinas'!A72="","",'Controlo de Propinas'!A72)</f>
        <v/>
      </c>
      <c r="B72" s="185" t="str">
        <f>IF('Controlo de Propinas'!B72="","",'Controlo de Propinas'!B72)</f>
        <v/>
      </c>
      <c r="C72" s="185" t="str">
        <f>IF('Controlo de Propinas'!C72="","",'Controlo de Propinas'!C72)</f>
        <v/>
      </c>
      <c r="D72" s="63"/>
      <c r="E72" s="63"/>
      <c r="F72" s="185" t="str">
        <f>IF('Controlo de Propinas'!K72="","",'Controlo de Propinas'!K72)</f>
        <v/>
      </c>
      <c r="G72" s="64" t="str">
        <f t="shared" si="2"/>
        <v/>
      </c>
      <c r="H72" s="63"/>
      <c r="I72" s="63"/>
      <c r="J72" s="63"/>
      <c r="K72" s="63"/>
      <c r="L72" s="63"/>
    </row>
    <row r="73" spans="1:12" ht="15" customHeight="1" x14ac:dyDescent="0.25">
      <c r="A73" s="185" t="str">
        <f>IF('Controlo de Propinas'!A73="","",'Controlo de Propinas'!A73)</f>
        <v/>
      </c>
      <c r="B73" s="185" t="str">
        <f>IF('Controlo de Propinas'!B73="","",'Controlo de Propinas'!B73)</f>
        <v/>
      </c>
      <c r="C73" s="185" t="str">
        <f>IF('Controlo de Propinas'!C73="","",'Controlo de Propinas'!C73)</f>
        <v/>
      </c>
      <c r="D73" s="63"/>
      <c r="E73" s="63"/>
      <c r="F73" s="185" t="str">
        <f>IF('Controlo de Propinas'!K73="","",'Controlo de Propinas'!K73)</f>
        <v/>
      </c>
      <c r="G73" s="64" t="str">
        <f t="shared" si="2"/>
        <v/>
      </c>
      <c r="H73" s="63"/>
      <c r="I73" s="63"/>
      <c r="J73" s="63"/>
      <c r="K73" s="63"/>
      <c r="L73" s="63"/>
    </row>
    <row r="74" spans="1:12" ht="15" customHeight="1" x14ac:dyDescent="0.25">
      <c r="A74" s="185" t="str">
        <f>IF('Controlo de Propinas'!A74="","",'Controlo de Propinas'!A74)</f>
        <v/>
      </c>
      <c r="B74" s="185" t="str">
        <f>IF('Controlo de Propinas'!B74="","",'Controlo de Propinas'!B74)</f>
        <v/>
      </c>
      <c r="C74" s="185" t="str">
        <f>IF('Controlo de Propinas'!C74="","",'Controlo de Propinas'!C74)</f>
        <v/>
      </c>
      <c r="D74" s="63"/>
      <c r="E74" s="63"/>
      <c r="F74" s="185" t="str">
        <f>IF('Controlo de Propinas'!K74="","",'Controlo de Propinas'!K74)</f>
        <v/>
      </c>
      <c r="G74" s="64" t="str">
        <f t="shared" si="2"/>
        <v/>
      </c>
      <c r="H74" s="63"/>
      <c r="I74" s="63"/>
      <c r="J74" s="63"/>
      <c r="K74" s="63"/>
      <c r="L74" s="63"/>
    </row>
    <row r="75" spans="1:12" ht="15" customHeight="1" x14ac:dyDescent="0.25">
      <c r="A75" s="185" t="str">
        <f>IF('Controlo de Propinas'!A75="","",'Controlo de Propinas'!A75)</f>
        <v/>
      </c>
      <c r="B75" s="185" t="str">
        <f>IF('Controlo de Propinas'!B75="","",'Controlo de Propinas'!B75)</f>
        <v/>
      </c>
      <c r="C75" s="185" t="str">
        <f>IF('Controlo de Propinas'!C75="","",'Controlo de Propinas'!C75)</f>
        <v/>
      </c>
      <c r="D75" s="63"/>
      <c r="E75" s="63"/>
      <c r="F75" s="185" t="str">
        <f>IF('Controlo de Propinas'!K75="","",'Controlo de Propinas'!K75)</f>
        <v/>
      </c>
      <c r="G75" s="64" t="str">
        <f t="shared" si="2"/>
        <v/>
      </c>
      <c r="H75" s="63"/>
      <c r="I75" s="63"/>
      <c r="J75" s="63"/>
      <c r="K75" s="63"/>
      <c r="L75" s="63"/>
    </row>
    <row r="76" spans="1:12" ht="15" customHeight="1" x14ac:dyDescent="0.25">
      <c r="A76" s="185" t="str">
        <f>IF('Controlo de Propinas'!A76="","",'Controlo de Propinas'!A76)</f>
        <v/>
      </c>
      <c r="B76" s="185" t="str">
        <f>IF('Controlo de Propinas'!B76="","",'Controlo de Propinas'!B76)</f>
        <v/>
      </c>
      <c r="C76" s="185" t="str">
        <f>IF('Controlo de Propinas'!C76="","",'Controlo de Propinas'!C76)</f>
        <v/>
      </c>
      <c r="D76" s="63"/>
      <c r="E76" s="63"/>
      <c r="F76" s="185" t="str">
        <f>IF('Controlo de Propinas'!K76="","",'Controlo de Propinas'!K76)</f>
        <v/>
      </c>
      <c r="G76" s="64" t="str">
        <f t="shared" si="2"/>
        <v/>
      </c>
      <c r="H76" s="63"/>
      <c r="I76" s="63"/>
      <c r="J76" s="63"/>
      <c r="K76" s="63"/>
      <c r="L76" s="63"/>
    </row>
    <row r="77" spans="1:12" ht="15" customHeight="1" x14ac:dyDescent="0.25">
      <c r="A77" s="185" t="str">
        <f>IF('Controlo de Propinas'!A77="","",'Controlo de Propinas'!A77)</f>
        <v/>
      </c>
      <c r="B77" s="185" t="str">
        <f>IF('Controlo de Propinas'!B77="","",'Controlo de Propinas'!B77)</f>
        <v/>
      </c>
      <c r="C77" s="185" t="str">
        <f>IF('Controlo de Propinas'!C77="","",'Controlo de Propinas'!C77)</f>
        <v/>
      </c>
      <c r="D77" s="63"/>
      <c r="E77" s="63"/>
      <c r="F77" s="185" t="str">
        <f>IF('Controlo de Propinas'!K77="","",'Controlo de Propinas'!K77)</f>
        <v/>
      </c>
      <c r="G77" s="64" t="str">
        <f t="shared" si="2"/>
        <v/>
      </c>
      <c r="H77" s="63"/>
      <c r="I77" s="63"/>
      <c r="J77" s="63"/>
      <c r="K77" s="63"/>
      <c r="L77" s="63"/>
    </row>
    <row r="78" spans="1:12" ht="15" customHeight="1" x14ac:dyDescent="0.25">
      <c r="A78" s="185" t="str">
        <f>IF('Controlo de Propinas'!A78="","",'Controlo de Propinas'!A78)</f>
        <v/>
      </c>
      <c r="B78" s="185" t="str">
        <f>IF('Controlo de Propinas'!B78="","",'Controlo de Propinas'!B78)</f>
        <v/>
      </c>
      <c r="C78" s="185" t="str">
        <f>IF('Controlo de Propinas'!C78="","",'Controlo de Propinas'!C78)</f>
        <v/>
      </c>
      <c r="D78" s="63"/>
      <c r="E78" s="63"/>
      <c r="F78" s="185" t="str">
        <f>IF('Controlo de Propinas'!K78="","",'Controlo de Propinas'!K78)</f>
        <v/>
      </c>
      <c r="G78" s="64" t="str">
        <f t="shared" si="2"/>
        <v/>
      </c>
      <c r="H78" s="63"/>
      <c r="I78" s="63"/>
      <c r="J78" s="63"/>
      <c r="K78" s="63"/>
      <c r="L78" s="63"/>
    </row>
    <row r="79" spans="1:12" ht="15" customHeight="1" x14ac:dyDescent="0.25">
      <c r="A79" s="185" t="str">
        <f>IF('Controlo de Propinas'!A79="","",'Controlo de Propinas'!A79)</f>
        <v/>
      </c>
      <c r="B79" s="185" t="str">
        <f>IF('Controlo de Propinas'!B79="","",'Controlo de Propinas'!B79)</f>
        <v/>
      </c>
      <c r="C79" s="185" t="str">
        <f>IF('Controlo de Propinas'!C79="","",'Controlo de Propinas'!C79)</f>
        <v/>
      </c>
      <c r="D79" s="63"/>
      <c r="E79" s="63"/>
      <c r="F79" s="185" t="str">
        <f>IF('Controlo de Propinas'!K79="","",'Controlo de Propinas'!K79)</f>
        <v/>
      </c>
      <c r="G79" s="64" t="str">
        <f t="shared" si="2"/>
        <v/>
      </c>
      <c r="H79" s="63"/>
      <c r="I79" s="63"/>
      <c r="J79" s="63"/>
      <c r="K79" s="63"/>
      <c r="L79" s="63"/>
    </row>
    <row r="80" spans="1:12" ht="15" customHeight="1" x14ac:dyDescent="0.25">
      <c r="A80" s="185" t="str">
        <f>IF('Controlo de Propinas'!A80="","",'Controlo de Propinas'!A80)</f>
        <v/>
      </c>
      <c r="B80" s="185" t="str">
        <f>IF('Controlo de Propinas'!B80="","",'Controlo de Propinas'!B80)</f>
        <v/>
      </c>
      <c r="C80" s="185" t="str">
        <f>IF('Controlo de Propinas'!C80="","",'Controlo de Propinas'!C80)</f>
        <v/>
      </c>
      <c r="D80" s="63"/>
      <c r="E80" s="63"/>
      <c r="F80" s="185" t="str">
        <f>IF('Controlo de Propinas'!K80="","",'Controlo de Propinas'!K80)</f>
        <v/>
      </c>
      <c r="G80" s="64" t="str">
        <f t="shared" si="2"/>
        <v/>
      </c>
      <c r="H80" s="63"/>
      <c r="I80" s="63"/>
      <c r="J80" s="63"/>
      <c r="K80" s="63"/>
      <c r="L80" s="63"/>
    </row>
    <row r="81" spans="1:12" ht="15" customHeight="1" x14ac:dyDescent="0.25">
      <c r="A81" s="185" t="str">
        <f>IF('Controlo de Propinas'!A81="","",'Controlo de Propinas'!A81)</f>
        <v/>
      </c>
      <c r="B81" s="185" t="str">
        <f>IF('Controlo de Propinas'!B81="","",'Controlo de Propinas'!B81)</f>
        <v/>
      </c>
      <c r="C81" s="185" t="str">
        <f>IF('Controlo de Propinas'!C81="","",'Controlo de Propinas'!C81)</f>
        <v/>
      </c>
      <c r="D81" s="63"/>
      <c r="E81" s="63"/>
      <c r="F81" s="185" t="str">
        <f>IF('Controlo de Propinas'!K81="","",'Controlo de Propinas'!K81)</f>
        <v/>
      </c>
      <c r="G81" s="64" t="str">
        <f t="shared" si="2"/>
        <v/>
      </c>
      <c r="H81" s="63"/>
      <c r="I81" s="63"/>
      <c r="J81" s="63"/>
      <c r="K81" s="63"/>
      <c r="L81" s="63"/>
    </row>
    <row r="82" spans="1:12" ht="15" customHeight="1" x14ac:dyDescent="0.25">
      <c r="A82" s="185" t="str">
        <f>IF('Controlo de Propinas'!A82="","",'Controlo de Propinas'!A82)</f>
        <v/>
      </c>
      <c r="B82" s="185" t="str">
        <f>IF('Controlo de Propinas'!B82="","",'Controlo de Propinas'!B82)</f>
        <v/>
      </c>
      <c r="C82" s="185" t="str">
        <f>IF('Controlo de Propinas'!C82="","",'Controlo de Propinas'!C82)</f>
        <v/>
      </c>
      <c r="D82" s="63"/>
      <c r="E82" s="63"/>
      <c r="F82" s="185" t="str">
        <f>IF('Controlo de Propinas'!K82="","",'Controlo de Propinas'!K82)</f>
        <v/>
      </c>
      <c r="G82" s="64" t="str">
        <f t="shared" si="2"/>
        <v/>
      </c>
      <c r="H82" s="63"/>
      <c r="I82" s="63"/>
      <c r="J82" s="63"/>
      <c r="K82" s="63"/>
      <c r="L82" s="63"/>
    </row>
    <row r="83" spans="1:12" ht="15" customHeight="1" x14ac:dyDescent="0.25">
      <c r="A83" s="185" t="str">
        <f>IF('Controlo de Propinas'!A83="","",'Controlo de Propinas'!A83)</f>
        <v/>
      </c>
      <c r="B83" s="185" t="str">
        <f>IF('Controlo de Propinas'!B83="","",'Controlo de Propinas'!B83)</f>
        <v/>
      </c>
      <c r="C83" s="185" t="str">
        <f>IF('Controlo de Propinas'!C83="","",'Controlo de Propinas'!C83)</f>
        <v/>
      </c>
      <c r="D83" s="63"/>
      <c r="E83" s="63"/>
      <c r="F83" s="185" t="str">
        <f>IF('Controlo de Propinas'!K83="","",'Controlo de Propinas'!K83)</f>
        <v/>
      </c>
      <c r="G83" s="64" t="str">
        <f t="shared" si="2"/>
        <v/>
      </c>
      <c r="H83" s="63"/>
      <c r="I83" s="63"/>
      <c r="J83" s="63"/>
      <c r="K83" s="63"/>
      <c r="L83" s="63"/>
    </row>
    <row r="84" spans="1:12" ht="15" customHeight="1" x14ac:dyDescent="0.25">
      <c r="A84" s="185" t="str">
        <f>IF('Controlo de Propinas'!A84="","",'Controlo de Propinas'!A84)</f>
        <v/>
      </c>
      <c r="B84" s="185" t="str">
        <f>IF('Controlo de Propinas'!B84="","",'Controlo de Propinas'!B84)</f>
        <v/>
      </c>
      <c r="C84" s="185" t="str">
        <f>IF('Controlo de Propinas'!C84="","",'Controlo de Propinas'!C84)</f>
        <v/>
      </c>
      <c r="D84" s="63"/>
      <c r="E84" s="63"/>
      <c r="F84" s="185" t="str">
        <f>IF('Controlo de Propinas'!K84="","",'Controlo de Propinas'!K84)</f>
        <v/>
      </c>
      <c r="G84" s="64" t="str">
        <f t="shared" si="2"/>
        <v/>
      </c>
      <c r="H84" s="63"/>
      <c r="I84" s="63"/>
      <c r="J84" s="63"/>
      <c r="K84" s="63"/>
      <c r="L84" s="63"/>
    </row>
    <row r="85" spans="1:12" ht="15" customHeight="1" x14ac:dyDescent="0.25">
      <c r="A85" s="185" t="str">
        <f>IF('Controlo de Propinas'!A85="","",'Controlo de Propinas'!A85)</f>
        <v/>
      </c>
      <c r="B85" s="185" t="str">
        <f>IF('Controlo de Propinas'!B85="","",'Controlo de Propinas'!B85)</f>
        <v/>
      </c>
      <c r="C85" s="185" t="str">
        <f>IF('Controlo de Propinas'!C85="","",'Controlo de Propinas'!C85)</f>
        <v/>
      </c>
      <c r="D85" s="63"/>
      <c r="E85" s="63"/>
      <c r="F85" s="185" t="str">
        <f>IF('Controlo de Propinas'!K85="","",'Controlo de Propinas'!K85)</f>
        <v/>
      </c>
      <c r="G85" s="64" t="str">
        <f t="shared" si="2"/>
        <v/>
      </c>
      <c r="H85" s="63"/>
      <c r="I85" s="63"/>
      <c r="J85" s="63"/>
      <c r="K85" s="63"/>
      <c r="L85" s="63"/>
    </row>
    <row r="86" spans="1:12" ht="15" customHeight="1" x14ac:dyDescent="0.25">
      <c r="A86" s="185" t="str">
        <f>IF('Controlo de Propinas'!A86="","",'Controlo de Propinas'!A86)</f>
        <v/>
      </c>
      <c r="B86" s="185" t="str">
        <f>IF('Controlo de Propinas'!B86="","",'Controlo de Propinas'!B86)</f>
        <v/>
      </c>
      <c r="C86" s="185" t="str">
        <f>IF('Controlo de Propinas'!C86="","",'Controlo de Propinas'!C86)</f>
        <v/>
      </c>
      <c r="D86" s="63"/>
      <c r="E86" s="63"/>
      <c r="F86" s="185" t="str">
        <f>IF('Controlo de Propinas'!K86="","",'Controlo de Propinas'!K86)</f>
        <v/>
      </c>
      <c r="G86" s="64" t="str">
        <f t="shared" si="2"/>
        <v/>
      </c>
      <c r="H86" s="63"/>
      <c r="I86" s="63"/>
      <c r="J86" s="63"/>
      <c r="K86" s="63"/>
      <c r="L86" s="63"/>
    </row>
    <row r="87" spans="1:12" ht="15" customHeight="1" x14ac:dyDescent="0.25">
      <c r="A87" s="185" t="str">
        <f>IF('Controlo de Propinas'!A87="","",'Controlo de Propinas'!A87)</f>
        <v/>
      </c>
      <c r="B87" s="185" t="str">
        <f>IF('Controlo de Propinas'!B87="","",'Controlo de Propinas'!B87)</f>
        <v/>
      </c>
      <c r="C87" s="185" t="str">
        <f>IF('Controlo de Propinas'!C87="","",'Controlo de Propinas'!C87)</f>
        <v/>
      </c>
      <c r="D87" s="63"/>
      <c r="E87" s="63"/>
      <c r="F87" s="185" t="str">
        <f>IF('Controlo de Propinas'!K87="","",'Controlo de Propinas'!K87)</f>
        <v/>
      </c>
      <c r="G87" s="64" t="str">
        <f t="shared" si="2"/>
        <v/>
      </c>
      <c r="H87" s="63"/>
      <c r="I87" s="63"/>
      <c r="J87" s="63"/>
      <c r="K87" s="63"/>
      <c r="L87" s="63"/>
    </row>
    <row r="88" spans="1:12" ht="15" customHeight="1" x14ac:dyDescent="0.25">
      <c r="A88" s="185" t="str">
        <f>IF('Controlo de Propinas'!A88="","",'Controlo de Propinas'!A88)</f>
        <v/>
      </c>
      <c r="B88" s="185" t="str">
        <f>IF('Controlo de Propinas'!B88="","",'Controlo de Propinas'!B88)</f>
        <v/>
      </c>
      <c r="C88" s="185" t="str">
        <f>IF('Controlo de Propinas'!C88="","",'Controlo de Propinas'!C88)</f>
        <v/>
      </c>
      <c r="D88" s="63"/>
      <c r="E88" s="63"/>
      <c r="F88" s="185" t="str">
        <f>IF('Controlo de Propinas'!K88="","",'Controlo de Propinas'!K88)</f>
        <v/>
      </c>
      <c r="G88" s="64" t="str">
        <f t="shared" si="2"/>
        <v/>
      </c>
      <c r="H88" s="63"/>
      <c r="I88" s="63"/>
      <c r="J88" s="63"/>
      <c r="K88" s="63"/>
      <c r="L88" s="63"/>
    </row>
    <row r="89" spans="1:12" ht="15" customHeight="1" x14ac:dyDescent="0.25">
      <c r="A89" s="185" t="str">
        <f>IF('Controlo de Propinas'!A89="","",'Controlo de Propinas'!A89)</f>
        <v/>
      </c>
      <c r="B89" s="185" t="str">
        <f>IF('Controlo de Propinas'!B89="","",'Controlo de Propinas'!B89)</f>
        <v/>
      </c>
      <c r="C89" s="185" t="str">
        <f>IF('Controlo de Propinas'!C89="","",'Controlo de Propinas'!C89)</f>
        <v/>
      </c>
      <c r="D89" s="63"/>
      <c r="E89" s="63"/>
      <c r="F89" s="185" t="str">
        <f>IF('Controlo de Propinas'!K89="","",'Controlo de Propinas'!K89)</f>
        <v/>
      </c>
      <c r="G89" s="64" t="str">
        <f t="shared" si="2"/>
        <v/>
      </c>
      <c r="H89" s="63"/>
      <c r="I89" s="63"/>
      <c r="J89" s="63"/>
      <c r="K89" s="63"/>
      <c r="L89" s="63"/>
    </row>
    <row r="90" spans="1:12" ht="15" customHeight="1" x14ac:dyDescent="0.25">
      <c r="A90" s="185" t="str">
        <f>IF('Controlo de Propinas'!A90="","",'Controlo de Propinas'!A90)</f>
        <v/>
      </c>
      <c r="B90" s="185" t="str">
        <f>IF('Controlo de Propinas'!B90="","",'Controlo de Propinas'!B90)</f>
        <v/>
      </c>
      <c r="C90" s="185" t="str">
        <f>IF('Controlo de Propinas'!C90="","",'Controlo de Propinas'!C90)</f>
        <v/>
      </c>
      <c r="D90" s="63"/>
      <c r="E90" s="63"/>
      <c r="F90" s="185" t="str">
        <f>IF('Controlo de Propinas'!K90="","",'Controlo de Propinas'!K90)</f>
        <v/>
      </c>
      <c r="G90" s="64" t="str">
        <f t="shared" si="2"/>
        <v/>
      </c>
      <c r="H90" s="63"/>
      <c r="I90" s="63"/>
      <c r="J90" s="63"/>
      <c r="K90" s="63"/>
      <c r="L90" s="63"/>
    </row>
    <row r="91" spans="1:12" ht="15" customHeight="1" x14ac:dyDescent="0.25">
      <c r="A91" s="185" t="str">
        <f>IF('Controlo de Propinas'!A91="","",'Controlo de Propinas'!A91)</f>
        <v/>
      </c>
      <c r="B91" s="185" t="str">
        <f>IF('Controlo de Propinas'!B91="","",'Controlo de Propinas'!B91)</f>
        <v/>
      </c>
      <c r="C91" s="185" t="str">
        <f>IF('Controlo de Propinas'!C91="","",'Controlo de Propinas'!C91)</f>
        <v/>
      </c>
      <c r="D91" s="63"/>
      <c r="E91" s="63"/>
      <c r="F91" s="185" t="str">
        <f>IF('Controlo de Propinas'!K91="","",'Controlo de Propinas'!K91)</f>
        <v/>
      </c>
      <c r="G91" s="64" t="str">
        <f t="shared" si="2"/>
        <v/>
      </c>
      <c r="H91" s="63"/>
      <c r="I91" s="63"/>
      <c r="J91" s="63"/>
      <c r="K91" s="63"/>
      <c r="L91" s="63"/>
    </row>
    <row r="92" spans="1:12" ht="15" customHeight="1" x14ac:dyDescent="0.25">
      <c r="A92" s="185" t="str">
        <f>IF('Controlo de Propinas'!A92="","",'Controlo de Propinas'!A92)</f>
        <v/>
      </c>
      <c r="B92" s="185" t="str">
        <f>IF('Controlo de Propinas'!B92="","",'Controlo de Propinas'!B92)</f>
        <v/>
      </c>
      <c r="C92" s="185" t="str">
        <f>IF('Controlo de Propinas'!C92="","",'Controlo de Propinas'!C92)</f>
        <v/>
      </c>
      <c r="D92" s="63"/>
      <c r="E92" s="63"/>
      <c r="F92" s="185" t="str">
        <f>IF('Controlo de Propinas'!K92="","",'Controlo de Propinas'!K92)</f>
        <v/>
      </c>
      <c r="G92" s="64" t="str">
        <f t="shared" si="2"/>
        <v/>
      </c>
      <c r="H92" s="63"/>
      <c r="I92" s="63"/>
      <c r="J92" s="63"/>
      <c r="K92" s="63"/>
      <c r="L92" s="63"/>
    </row>
    <row r="93" spans="1:12" ht="15" customHeight="1" x14ac:dyDescent="0.25">
      <c r="A93" s="185" t="str">
        <f>IF('Controlo de Propinas'!A93="","",'Controlo de Propinas'!A93)</f>
        <v/>
      </c>
      <c r="B93" s="185" t="str">
        <f>IF('Controlo de Propinas'!B93="","",'Controlo de Propinas'!B93)</f>
        <v/>
      </c>
      <c r="C93" s="185" t="str">
        <f>IF('Controlo de Propinas'!C93="","",'Controlo de Propinas'!C93)</f>
        <v/>
      </c>
      <c r="D93" s="63"/>
      <c r="E93" s="63"/>
      <c r="F93" s="185" t="str">
        <f>IF('Controlo de Propinas'!K93="","",'Controlo de Propinas'!K93)</f>
        <v/>
      </c>
      <c r="G93" s="64" t="str">
        <f t="shared" si="2"/>
        <v/>
      </c>
      <c r="H93" s="63"/>
      <c r="I93" s="63"/>
      <c r="J93" s="63"/>
      <c r="K93" s="63"/>
      <c r="L93" s="63"/>
    </row>
    <row r="94" spans="1:12" ht="15" customHeight="1" x14ac:dyDescent="0.25">
      <c r="A94" s="185" t="str">
        <f>IF('Controlo de Propinas'!A94="","",'Controlo de Propinas'!A94)</f>
        <v/>
      </c>
      <c r="B94" s="185" t="str">
        <f>IF('Controlo de Propinas'!B94="","",'Controlo de Propinas'!B94)</f>
        <v/>
      </c>
      <c r="C94" s="185" t="str">
        <f>IF('Controlo de Propinas'!C94="","",'Controlo de Propinas'!C94)</f>
        <v/>
      </c>
      <c r="D94" s="63"/>
      <c r="E94" s="63"/>
      <c r="F94" s="185" t="str">
        <f>IF('Controlo de Propinas'!K94="","",'Controlo de Propinas'!K94)</f>
        <v/>
      </c>
      <c r="G94" s="64" t="str">
        <f t="shared" si="2"/>
        <v/>
      </c>
      <c r="H94" s="63"/>
      <c r="I94" s="63"/>
      <c r="J94" s="63"/>
      <c r="K94" s="63"/>
      <c r="L94" s="63"/>
    </row>
    <row r="95" spans="1:12" ht="15" customHeight="1" x14ac:dyDescent="0.25">
      <c r="A95" s="185" t="str">
        <f>IF('Controlo de Propinas'!A95="","",'Controlo de Propinas'!A95)</f>
        <v/>
      </c>
      <c r="B95" s="185" t="str">
        <f>IF('Controlo de Propinas'!B95="","",'Controlo de Propinas'!B95)</f>
        <v/>
      </c>
      <c r="C95" s="185" t="str">
        <f>IF('Controlo de Propinas'!C95="","",'Controlo de Propinas'!C95)</f>
        <v/>
      </c>
      <c r="D95" s="63"/>
      <c r="E95" s="63"/>
      <c r="F95" s="185" t="str">
        <f>IF('Controlo de Propinas'!K95="","",'Controlo de Propinas'!K95)</f>
        <v/>
      </c>
      <c r="G95" s="64" t="str">
        <f t="shared" si="2"/>
        <v/>
      </c>
      <c r="H95" s="63"/>
      <c r="I95" s="63"/>
      <c r="J95" s="63"/>
      <c r="K95" s="63"/>
      <c r="L95" s="63"/>
    </row>
    <row r="96" spans="1:12" ht="15" customHeight="1" x14ac:dyDescent="0.25">
      <c r="A96" s="185" t="str">
        <f>IF('Controlo de Propinas'!A96="","",'Controlo de Propinas'!A96)</f>
        <v/>
      </c>
      <c r="B96" s="185" t="str">
        <f>IF('Controlo de Propinas'!B96="","",'Controlo de Propinas'!B96)</f>
        <v/>
      </c>
      <c r="C96" s="185" t="str">
        <f>IF('Controlo de Propinas'!C96="","",'Controlo de Propinas'!C96)</f>
        <v/>
      </c>
      <c r="D96" s="63"/>
      <c r="E96" s="63"/>
      <c r="F96" s="185" t="str">
        <f>IF('Controlo de Propinas'!K96="","",'Controlo de Propinas'!K96)</f>
        <v/>
      </c>
      <c r="G96" s="64" t="str">
        <f t="shared" si="2"/>
        <v/>
      </c>
      <c r="H96" s="63"/>
      <c r="I96" s="63"/>
      <c r="J96" s="63"/>
      <c r="K96" s="63"/>
      <c r="L96" s="63"/>
    </row>
    <row r="97" spans="1:12" ht="15" customHeight="1" x14ac:dyDescent="0.25">
      <c r="A97" s="185" t="str">
        <f>IF('Controlo de Propinas'!A97="","",'Controlo de Propinas'!A97)</f>
        <v/>
      </c>
      <c r="B97" s="185" t="str">
        <f>IF('Controlo de Propinas'!B97="","",'Controlo de Propinas'!B97)</f>
        <v/>
      </c>
      <c r="C97" s="185" t="str">
        <f>IF('Controlo de Propinas'!C97="","",'Controlo de Propinas'!C97)</f>
        <v/>
      </c>
      <c r="D97" s="63"/>
      <c r="E97" s="63"/>
      <c r="F97" s="185" t="str">
        <f>IF('Controlo de Propinas'!K97="","",'Controlo de Propinas'!K97)</f>
        <v/>
      </c>
      <c r="G97" s="64" t="str">
        <f t="shared" si="2"/>
        <v/>
      </c>
      <c r="H97" s="63"/>
      <c r="I97" s="63"/>
      <c r="J97" s="63"/>
      <c r="K97" s="63"/>
      <c r="L97" s="63"/>
    </row>
    <row r="98" spans="1:12" ht="15" customHeight="1" x14ac:dyDescent="0.25">
      <c r="A98" s="185" t="str">
        <f>IF('Controlo de Propinas'!A98="","",'Controlo de Propinas'!A98)</f>
        <v/>
      </c>
      <c r="B98" s="185" t="str">
        <f>IF('Controlo de Propinas'!B98="","",'Controlo de Propinas'!B98)</f>
        <v/>
      </c>
      <c r="C98" s="185" t="str">
        <f>IF('Controlo de Propinas'!C98="","",'Controlo de Propinas'!C98)</f>
        <v/>
      </c>
      <c r="D98" s="63"/>
      <c r="E98" s="63"/>
      <c r="F98" s="185" t="str">
        <f>IF('Controlo de Propinas'!K98="","",'Controlo de Propinas'!K98)</f>
        <v/>
      </c>
      <c r="G98" s="64" t="str">
        <f t="shared" si="2"/>
        <v/>
      </c>
      <c r="H98" s="63"/>
      <c r="I98" s="63"/>
      <c r="J98" s="63"/>
      <c r="K98" s="63"/>
      <c r="L98" s="63"/>
    </row>
    <row r="99" spans="1:12" ht="15" customHeight="1" x14ac:dyDescent="0.25">
      <c r="A99" s="185" t="str">
        <f>IF('Controlo de Propinas'!A99="","",'Controlo de Propinas'!A99)</f>
        <v/>
      </c>
      <c r="B99" s="185" t="str">
        <f>IF('Controlo de Propinas'!B99="","",'Controlo de Propinas'!B99)</f>
        <v/>
      </c>
      <c r="C99" s="185" t="str">
        <f>IF('Controlo de Propinas'!C99="","",'Controlo de Propinas'!C99)</f>
        <v/>
      </c>
      <c r="D99" s="63"/>
      <c r="E99" s="63"/>
      <c r="F99" s="185" t="str">
        <f>IF('Controlo de Propinas'!K99="","",'Controlo de Propinas'!K99)</f>
        <v/>
      </c>
      <c r="G99" s="64" t="str">
        <f t="shared" si="2"/>
        <v/>
      </c>
      <c r="H99" s="63"/>
      <c r="I99" s="63"/>
      <c r="J99" s="63"/>
      <c r="K99" s="63"/>
      <c r="L99" s="63"/>
    </row>
    <row r="100" spans="1:12" ht="15" customHeight="1" x14ac:dyDescent="0.25">
      <c r="A100" s="185" t="str">
        <f>IF('Controlo de Propinas'!A100="","",'Controlo de Propinas'!A100)</f>
        <v/>
      </c>
      <c r="B100" s="185" t="str">
        <f>IF('Controlo de Propinas'!B100="","",'Controlo de Propinas'!B100)</f>
        <v/>
      </c>
      <c r="C100" s="185" t="str">
        <f>IF('Controlo de Propinas'!C100="","",'Controlo de Propinas'!C100)</f>
        <v/>
      </c>
      <c r="D100" s="63"/>
      <c r="E100" s="63"/>
      <c r="F100" s="185" t="str">
        <f>IF('Controlo de Propinas'!K100="","",'Controlo de Propinas'!K100)</f>
        <v/>
      </c>
      <c r="G100" s="64" t="str">
        <f t="shared" si="2"/>
        <v/>
      </c>
      <c r="H100" s="63"/>
      <c r="I100" s="63"/>
      <c r="J100" s="63"/>
      <c r="K100" s="63"/>
      <c r="L100" s="63"/>
    </row>
    <row r="101" spans="1:12" ht="15" customHeight="1" x14ac:dyDescent="0.25">
      <c r="A101" s="185" t="str">
        <f>IF('Controlo de Propinas'!A101="","",'Controlo de Propinas'!A101)</f>
        <v/>
      </c>
      <c r="B101" s="185" t="str">
        <f>IF('Controlo de Propinas'!B101="","",'Controlo de Propinas'!B101)</f>
        <v/>
      </c>
      <c r="C101" s="185" t="str">
        <f>IF('Controlo de Propinas'!C101="","",'Controlo de Propinas'!C101)</f>
        <v/>
      </c>
      <c r="D101" s="63"/>
      <c r="E101" s="63"/>
      <c r="F101" s="185" t="str">
        <f>IF('Controlo de Propinas'!K101="","",'Controlo de Propinas'!K101)</f>
        <v/>
      </c>
      <c r="G101" s="64" t="str">
        <f t="shared" si="2"/>
        <v/>
      </c>
      <c r="H101" s="63"/>
      <c r="I101" s="63"/>
      <c r="J101" s="63"/>
      <c r="K101" s="63"/>
      <c r="L101" s="63"/>
    </row>
    <row r="102" spans="1:12" ht="15" customHeight="1" x14ac:dyDescent="0.25">
      <c r="A102" s="185" t="str">
        <f>IF('Controlo de Propinas'!A102="","",'Controlo de Propinas'!A102)</f>
        <v/>
      </c>
      <c r="B102" s="185" t="str">
        <f>IF('Controlo de Propinas'!B102="","",'Controlo de Propinas'!B102)</f>
        <v/>
      </c>
      <c r="C102" s="185" t="str">
        <f>IF('Controlo de Propinas'!C102="","",'Controlo de Propinas'!C102)</f>
        <v/>
      </c>
      <c r="D102" s="63"/>
      <c r="E102" s="63"/>
      <c r="F102" s="185" t="str">
        <f>IF('Controlo de Propinas'!K102="","",'Controlo de Propinas'!K102)</f>
        <v/>
      </c>
      <c r="G102" s="64" t="str">
        <f t="shared" si="2"/>
        <v/>
      </c>
      <c r="H102" s="63"/>
      <c r="I102" s="63"/>
      <c r="J102" s="63"/>
      <c r="K102" s="63"/>
      <c r="L102" s="63"/>
    </row>
    <row r="103" spans="1:12" ht="15" customHeight="1" x14ac:dyDescent="0.25">
      <c r="A103" s="185" t="str">
        <f>IF('Controlo de Propinas'!A103="","",'Controlo de Propinas'!A103)</f>
        <v/>
      </c>
      <c r="B103" s="185" t="str">
        <f>IF('Controlo de Propinas'!B103="","",'Controlo de Propinas'!B103)</f>
        <v/>
      </c>
      <c r="C103" s="185" t="str">
        <f>IF('Controlo de Propinas'!C103="","",'Controlo de Propinas'!C103)</f>
        <v/>
      </c>
      <c r="D103" s="63"/>
      <c r="E103" s="63"/>
      <c r="F103" s="185" t="str">
        <f>IF('Controlo de Propinas'!K103="","",'Controlo de Propinas'!K103)</f>
        <v/>
      </c>
      <c r="G103" s="64" t="str">
        <f t="shared" si="2"/>
        <v/>
      </c>
      <c r="H103" s="63"/>
      <c r="I103" s="63"/>
      <c r="J103" s="63"/>
      <c r="K103" s="63"/>
      <c r="L103" s="63"/>
    </row>
    <row r="104" spans="1:12" ht="15" customHeight="1" x14ac:dyDescent="0.25">
      <c r="A104" s="185" t="str">
        <f>IF('Controlo de Propinas'!A104="","",'Controlo de Propinas'!A104)</f>
        <v/>
      </c>
      <c r="B104" s="185" t="str">
        <f>IF('Controlo de Propinas'!B104="","",'Controlo de Propinas'!B104)</f>
        <v/>
      </c>
      <c r="C104" s="185" t="str">
        <f>IF('Controlo de Propinas'!C104="","",'Controlo de Propinas'!C104)</f>
        <v/>
      </c>
      <c r="D104" s="63"/>
      <c r="E104" s="63"/>
      <c r="F104" s="185" t="str">
        <f>IF('Controlo de Propinas'!K104="","",'Controlo de Propinas'!K104)</f>
        <v/>
      </c>
      <c r="G104" s="64" t="str">
        <f t="shared" si="2"/>
        <v/>
      </c>
      <c r="H104" s="63"/>
      <c r="I104" s="63"/>
      <c r="J104" s="63"/>
      <c r="K104" s="63"/>
      <c r="L104" s="63"/>
    </row>
    <row r="105" spans="1:12" ht="15" customHeight="1" x14ac:dyDescent="0.25">
      <c r="A105" s="185" t="str">
        <f>IF('Controlo de Propinas'!A105="","",'Controlo de Propinas'!A105)</f>
        <v/>
      </c>
      <c r="B105" s="185" t="str">
        <f>IF('Controlo de Propinas'!B105="","",'Controlo de Propinas'!B105)</f>
        <v/>
      </c>
      <c r="C105" s="185" t="str">
        <f>IF('Controlo de Propinas'!C105="","",'Controlo de Propinas'!C105)</f>
        <v/>
      </c>
      <c r="D105" s="63"/>
      <c r="E105" s="63"/>
      <c r="F105" s="185" t="str">
        <f>IF('Controlo de Propinas'!K105="","",'Controlo de Propinas'!K105)</f>
        <v/>
      </c>
      <c r="G105" s="64" t="str">
        <f t="shared" si="2"/>
        <v/>
      </c>
      <c r="H105" s="63"/>
      <c r="I105" s="63"/>
      <c r="J105" s="63"/>
      <c r="K105" s="63"/>
      <c r="L105" s="63"/>
    </row>
    <row r="106" spans="1:12" ht="15" customHeight="1" x14ac:dyDescent="0.25">
      <c r="A106" s="35" t="s">
        <v>98</v>
      </c>
      <c r="B106" s="35" t="str">
        <f>COUNTIF(B6:B105,"?*")&amp;" alunos"</f>
        <v>9 alunos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8" spans="1:12" ht="15" customHeight="1" x14ac:dyDescent="0.25">
      <c r="A108" s="256" t="s">
        <v>99</v>
      </c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</row>
    <row r="109" spans="1:12" ht="25.5" customHeight="1" x14ac:dyDescent="0.25">
      <c r="A109" s="65" t="s">
        <v>64</v>
      </c>
      <c r="B109" s="65" t="s">
        <v>65</v>
      </c>
      <c r="C109" s="65" t="s">
        <v>66</v>
      </c>
      <c r="D109" s="65" t="s">
        <v>147</v>
      </c>
      <c r="E109" s="65" t="s">
        <v>148</v>
      </c>
      <c r="F109" s="65" t="s">
        <v>149</v>
      </c>
      <c r="G109" s="65" t="s">
        <v>150</v>
      </c>
      <c r="H109" s="65" t="s">
        <v>151</v>
      </c>
      <c r="I109" s="65" t="s">
        <v>152</v>
      </c>
      <c r="J109" s="65" t="s">
        <v>153</v>
      </c>
      <c r="K109" s="65" t="s">
        <v>154</v>
      </c>
      <c r="L109" s="65" t="s">
        <v>155</v>
      </c>
    </row>
    <row r="110" spans="1:12" ht="15" customHeight="1" x14ac:dyDescent="0.25">
      <c r="A110" s="39" t="str">
        <f>IF('Controlo de Propinas'!A110="","",'Controlo de Propinas'!A110)</f>
        <v>CM1-01</v>
      </c>
      <c r="B110" s="39" t="str">
        <f>IF('Controlo de Propinas'!B110="","",'Controlo de Propinas'!B110)</f>
        <v>Crisber Uluwami António Cristovão De Sousa</v>
      </c>
      <c r="C110" s="39" t="str">
        <f>IF('Controlo de Propinas'!C110="","",'Controlo de Propinas'!C110)</f>
        <v>CM1</v>
      </c>
      <c r="D110" s="58"/>
      <c r="E110" s="58"/>
      <c r="F110" s="58"/>
      <c r="G110" s="58"/>
      <c r="H110" s="58"/>
      <c r="I110" s="58"/>
      <c r="J110" s="58"/>
      <c r="K110" s="58"/>
      <c r="L110" s="58"/>
    </row>
    <row r="111" spans="1:12" ht="15" customHeight="1" x14ac:dyDescent="0.25">
      <c r="A111" s="39" t="str">
        <f>IF('Controlo de Propinas'!A111="","",'Controlo de Propinas'!A111)</f>
        <v>CM1-02</v>
      </c>
      <c r="B111" s="39" t="str">
        <f>IF('Controlo de Propinas'!B111="","",'Controlo de Propinas'!B111)</f>
        <v/>
      </c>
      <c r="C111" s="39" t="str">
        <f>IF('Controlo de Propinas'!C111="","",'Controlo de Propinas'!C111)</f>
        <v>CM1</v>
      </c>
      <c r="D111" s="58"/>
      <c r="E111" s="58"/>
      <c r="F111" s="58"/>
      <c r="G111" s="58"/>
      <c r="H111" s="58"/>
      <c r="I111" s="58"/>
      <c r="J111" s="58"/>
      <c r="K111" s="58"/>
      <c r="L111" s="58"/>
    </row>
    <row r="112" spans="1:12" ht="15" customHeight="1" x14ac:dyDescent="0.25">
      <c r="A112" s="39" t="str">
        <f>IF('Controlo de Propinas'!A112="","",'Controlo de Propinas'!A112)</f>
        <v/>
      </c>
      <c r="B112" s="39" t="str">
        <f>IF('Controlo de Propinas'!B112="","",'Controlo de Propinas'!B112)</f>
        <v/>
      </c>
      <c r="C112" s="39" t="str">
        <f>IF('Controlo de Propinas'!C112="","",'Controlo de Propinas'!C112)</f>
        <v>CM1</v>
      </c>
      <c r="D112" s="58"/>
      <c r="E112" s="58"/>
      <c r="F112" s="58"/>
      <c r="G112" s="58"/>
      <c r="H112" s="58"/>
      <c r="I112" s="58"/>
      <c r="J112" s="58"/>
      <c r="K112" s="58"/>
      <c r="L112" s="58"/>
    </row>
    <row r="113" spans="1:12" ht="15" customHeight="1" x14ac:dyDescent="0.25">
      <c r="A113" s="39" t="str">
        <f>IF('Controlo de Propinas'!A113="","",'Controlo de Propinas'!A113)</f>
        <v/>
      </c>
      <c r="B113" s="39" t="str">
        <f>IF('Controlo de Propinas'!B113="","",'Controlo de Propinas'!B113)</f>
        <v/>
      </c>
      <c r="C113" s="39" t="str">
        <f>IF('Controlo de Propinas'!C113="","",'Controlo de Propinas'!C113)</f>
        <v>CM1</v>
      </c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1:12" ht="15" customHeight="1" x14ac:dyDescent="0.25">
      <c r="A114" s="39" t="str">
        <f>IF('Controlo de Propinas'!A114="","",'Controlo de Propinas'!A114)</f>
        <v/>
      </c>
      <c r="B114" s="39" t="str">
        <f>IF('Controlo de Propinas'!B114="","",'Controlo de Propinas'!B114)</f>
        <v/>
      </c>
      <c r="C114" s="39" t="str">
        <f>IF('Controlo de Propinas'!C114="","",'Controlo de Propinas'!C114)</f>
        <v>CM1</v>
      </c>
      <c r="D114" s="58"/>
      <c r="E114" s="58"/>
      <c r="F114" s="58"/>
      <c r="G114" s="58"/>
      <c r="H114" s="58"/>
      <c r="I114" s="58"/>
      <c r="J114" s="58"/>
      <c r="K114" s="58"/>
      <c r="L114" s="58"/>
    </row>
    <row r="115" spans="1:12" ht="15" customHeight="1" x14ac:dyDescent="0.25">
      <c r="A115" s="39" t="str">
        <f>IF('Controlo de Propinas'!A115="","",'Controlo de Propinas'!A115)</f>
        <v/>
      </c>
      <c r="B115" s="39" t="str">
        <f>IF('Controlo de Propinas'!B115="","",'Controlo de Propinas'!B115)</f>
        <v/>
      </c>
      <c r="C115" s="39" t="str">
        <f>IF('Controlo de Propinas'!C115="","",'Controlo de Propinas'!C115)</f>
        <v>CM1</v>
      </c>
      <c r="D115" s="58"/>
      <c r="E115" s="58"/>
      <c r="F115" s="58"/>
      <c r="G115" s="58"/>
      <c r="H115" s="58"/>
      <c r="I115" s="58"/>
      <c r="J115" s="58"/>
      <c r="K115" s="58"/>
      <c r="L115" s="58"/>
    </row>
    <row r="116" spans="1:12" ht="15" customHeight="1" x14ac:dyDescent="0.25">
      <c r="A116" s="39" t="str">
        <f>IF('Controlo de Propinas'!A116="","",'Controlo de Propinas'!A116)</f>
        <v/>
      </c>
      <c r="B116" s="39" t="str">
        <f>IF('Controlo de Propinas'!B116="","",'Controlo de Propinas'!B116)</f>
        <v/>
      </c>
      <c r="C116" s="39" t="str">
        <f>IF('Controlo de Propinas'!C116="","",'Controlo de Propinas'!C116)</f>
        <v>CM1</v>
      </c>
      <c r="D116" s="58"/>
      <c r="E116" s="58"/>
      <c r="F116" s="58"/>
      <c r="G116" s="58"/>
      <c r="H116" s="58"/>
      <c r="I116" s="58"/>
      <c r="J116" s="58"/>
      <c r="K116" s="58"/>
      <c r="L116" s="58"/>
    </row>
    <row r="117" spans="1:12" ht="15" customHeight="1" x14ac:dyDescent="0.25">
      <c r="A117" s="39" t="str">
        <f>IF('Controlo de Propinas'!A117="","",'Controlo de Propinas'!A117)</f>
        <v/>
      </c>
      <c r="B117" s="39" t="str">
        <f>IF('Controlo de Propinas'!B117="","",'Controlo de Propinas'!B117)</f>
        <v/>
      </c>
      <c r="C117" s="39" t="str">
        <f>IF('Controlo de Propinas'!C117="","",'Controlo de Propinas'!C117)</f>
        <v>CM1</v>
      </c>
      <c r="D117" s="58"/>
      <c r="E117" s="58"/>
      <c r="F117" s="58"/>
      <c r="G117" s="58"/>
      <c r="H117" s="58"/>
      <c r="I117" s="58"/>
      <c r="J117" s="58"/>
      <c r="K117" s="58"/>
      <c r="L117" s="58"/>
    </row>
    <row r="118" spans="1:12" ht="15" customHeight="1" x14ac:dyDescent="0.25">
      <c r="A118" s="39" t="str">
        <f>IF('Controlo de Propinas'!A118="","",'Controlo de Propinas'!A118)</f>
        <v/>
      </c>
      <c r="B118" s="39" t="str">
        <f>IF('Controlo de Propinas'!B118="","",'Controlo de Propinas'!B118)</f>
        <v/>
      </c>
      <c r="C118" s="39" t="str">
        <f>IF('Controlo de Propinas'!C118="","",'Controlo de Propinas'!C118)</f>
        <v>CM1</v>
      </c>
      <c r="D118" s="58"/>
      <c r="E118" s="58"/>
      <c r="F118" s="58"/>
      <c r="G118" s="58"/>
      <c r="H118" s="58"/>
      <c r="I118" s="58"/>
      <c r="J118" s="58"/>
      <c r="K118" s="58"/>
      <c r="L118" s="58"/>
    </row>
    <row r="119" spans="1:12" ht="15" customHeight="1" x14ac:dyDescent="0.25">
      <c r="A119" s="39" t="str">
        <f>IF('Controlo de Propinas'!A119="","",'Controlo de Propinas'!A119)</f>
        <v/>
      </c>
      <c r="B119" s="39" t="str">
        <f>IF('Controlo de Propinas'!B119="","",'Controlo de Propinas'!B119)</f>
        <v/>
      </c>
      <c r="C119" s="39" t="str">
        <f>IF('Controlo de Propinas'!C119="","",'Controlo de Propinas'!C119)</f>
        <v>CM1</v>
      </c>
      <c r="D119" s="58"/>
      <c r="E119" s="58"/>
      <c r="F119" s="58"/>
      <c r="G119" s="58"/>
      <c r="H119" s="58"/>
      <c r="I119" s="58"/>
      <c r="J119" s="58"/>
      <c r="K119" s="58"/>
      <c r="L119" s="58"/>
    </row>
    <row r="120" spans="1:12" ht="15" customHeight="1" x14ac:dyDescent="0.25">
      <c r="A120" s="39" t="str">
        <f>IF('Controlo de Propinas'!A120="","",'Controlo de Propinas'!A120)</f>
        <v/>
      </c>
      <c r="B120" s="39" t="str">
        <f>IF('Controlo de Propinas'!B120="","",'Controlo de Propinas'!B120)</f>
        <v/>
      </c>
      <c r="C120" s="39" t="str">
        <f>IF('Controlo de Propinas'!C120="","",'Controlo de Propinas'!C120)</f>
        <v>CM1</v>
      </c>
      <c r="D120" s="58"/>
      <c r="E120" s="58"/>
      <c r="F120" s="58"/>
      <c r="G120" s="58"/>
      <c r="H120" s="58"/>
      <c r="I120" s="58"/>
      <c r="J120" s="58"/>
      <c r="K120" s="58"/>
      <c r="L120" s="58"/>
    </row>
    <row r="121" spans="1:12" ht="15" customHeight="1" x14ac:dyDescent="0.25">
      <c r="A121" s="39" t="str">
        <f>IF('Controlo de Propinas'!A121="","",'Controlo de Propinas'!A121)</f>
        <v/>
      </c>
      <c r="B121" s="39" t="str">
        <f>IF('Controlo de Propinas'!B121="","",'Controlo de Propinas'!B121)</f>
        <v/>
      </c>
      <c r="C121" s="39" t="str">
        <f>IF('Controlo de Propinas'!C121="","",'Controlo de Propinas'!C121)</f>
        <v>CM1</v>
      </c>
      <c r="D121" s="58"/>
      <c r="E121" s="58"/>
      <c r="F121" s="58"/>
      <c r="G121" s="58"/>
      <c r="H121" s="58"/>
      <c r="I121" s="58"/>
      <c r="J121" s="58"/>
      <c r="K121" s="58"/>
      <c r="L121" s="58"/>
    </row>
    <row r="122" spans="1:12" ht="15" customHeight="1" x14ac:dyDescent="0.25">
      <c r="A122" s="39" t="str">
        <f>IF('Controlo de Propinas'!A122="","",'Controlo de Propinas'!A122)</f>
        <v/>
      </c>
      <c r="B122" s="39" t="str">
        <f>IF('Controlo de Propinas'!B122="","",'Controlo de Propinas'!B122)</f>
        <v/>
      </c>
      <c r="C122" s="39" t="str">
        <f>IF('Controlo de Propinas'!C122="","",'Controlo de Propinas'!C122)</f>
        <v>CM1</v>
      </c>
      <c r="D122" s="58"/>
      <c r="E122" s="58"/>
      <c r="F122" s="58"/>
      <c r="G122" s="58"/>
      <c r="H122" s="58"/>
      <c r="I122" s="58"/>
      <c r="J122" s="58"/>
      <c r="K122" s="58"/>
      <c r="L122" s="58"/>
    </row>
    <row r="123" spans="1:12" ht="15" customHeight="1" x14ac:dyDescent="0.25">
      <c r="A123" s="39" t="str">
        <f>IF('Controlo de Propinas'!A123="","",'Controlo de Propinas'!A123)</f>
        <v/>
      </c>
      <c r="B123" s="39" t="str">
        <f>IF('Controlo de Propinas'!B123="","",'Controlo de Propinas'!B123)</f>
        <v/>
      </c>
      <c r="C123" s="39" t="str">
        <f>IF('Controlo de Propinas'!C123="","",'Controlo de Propinas'!C123)</f>
        <v>CM1</v>
      </c>
      <c r="D123" s="58"/>
      <c r="E123" s="58"/>
      <c r="F123" s="58"/>
      <c r="G123" s="58"/>
      <c r="H123" s="58"/>
      <c r="I123" s="58"/>
      <c r="J123" s="58"/>
      <c r="K123" s="58"/>
      <c r="L123" s="58"/>
    </row>
    <row r="124" spans="1:12" ht="15" customHeight="1" x14ac:dyDescent="0.25">
      <c r="A124" s="43" t="s">
        <v>98</v>
      </c>
      <c r="B124" s="43" t="str">
        <f>COUNTIF(B110:B123,"?*")&amp;" alunos"</f>
        <v>1 alunos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 ht="15" customHeight="1" x14ac:dyDescent="0.25"/>
    <row r="126" spans="1:12" ht="15" customHeight="1" x14ac:dyDescent="0.25">
      <c r="A126" s="45" t="s">
        <v>103</v>
      </c>
    </row>
    <row r="127" spans="1:12" ht="15" customHeight="1" x14ac:dyDescent="0.25">
      <c r="A127" s="62" t="s">
        <v>64</v>
      </c>
      <c r="B127" s="62" t="s">
        <v>65</v>
      </c>
      <c r="C127" s="62" t="s">
        <v>66</v>
      </c>
      <c r="D127" s="62" t="s">
        <v>147</v>
      </c>
      <c r="E127" s="62" t="s">
        <v>148</v>
      </c>
      <c r="F127" s="62" t="s">
        <v>149</v>
      </c>
      <c r="G127" s="62" t="s">
        <v>150</v>
      </c>
      <c r="H127" s="62" t="s">
        <v>151</v>
      </c>
      <c r="I127" s="62" t="s">
        <v>152</v>
      </c>
      <c r="J127" s="62" t="s">
        <v>153</v>
      </c>
      <c r="K127" s="62" t="s">
        <v>154</v>
      </c>
      <c r="L127" s="62" t="s">
        <v>155</v>
      </c>
    </row>
    <row r="128" spans="1:12" ht="15" customHeight="1" x14ac:dyDescent="0.25">
      <c r="A128" s="185" t="str">
        <f>IF('Controlo de Propinas'!A129="","",'Controlo de Propinas'!A129)</f>
        <v>CM2-01</v>
      </c>
      <c r="B128" s="185" t="str">
        <f>IF('Controlo de Propinas'!B129="","",'Controlo de Propinas'!B129)</f>
        <v>Kaila Abigail Katata da Silva</v>
      </c>
      <c r="C128" s="185" t="str">
        <f>IF('Controlo de Propinas'!C129="","",'Controlo de Propinas'!C129)</f>
        <v>CM2</v>
      </c>
      <c r="D128" s="63"/>
      <c r="E128" s="63"/>
      <c r="F128" s="195">
        <f>IF('Controlo de Propinas'!K129="","",'Controlo de Propinas'!K129)</f>
        <v>46230</v>
      </c>
      <c r="G128" s="64">
        <f t="shared" ref="G128:G171" si="3">IF(C110="","",IF(OR(C110="Maternelle",C110="Maternelle P1",C110="Maternelle P2",C110="Maternelle P3"),170000,IF(C110="CM2",250000,IF(C110="4eme",260000,170000))))</f>
        <v>170000</v>
      </c>
      <c r="H128" s="63"/>
      <c r="I128" s="63"/>
      <c r="J128" s="63"/>
      <c r="K128" s="63"/>
      <c r="L128" s="63"/>
    </row>
    <row r="129" spans="1:12" ht="15" customHeight="1" x14ac:dyDescent="0.25">
      <c r="A129" s="185" t="str">
        <f>IF('Controlo de Propinas'!A130="","",'Controlo de Propinas'!A130)</f>
        <v>CM2-02</v>
      </c>
      <c r="B129" s="185" t="str">
        <f>IF('Controlo de Propinas'!B130="","",'Controlo de Propinas'!B130)</f>
        <v>Pedro Henriques Simão dos Santos</v>
      </c>
      <c r="C129" s="185" t="str">
        <f>IF('Controlo de Propinas'!C130="","",'Controlo de Propinas'!C130)</f>
        <v>CM2</v>
      </c>
      <c r="D129" s="63"/>
      <c r="E129" s="63"/>
      <c r="F129" s="195">
        <f>IF('Controlo de Propinas'!K130="","",'Controlo de Propinas'!K130)</f>
        <v>46229</v>
      </c>
      <c r="G129" s="64">
        <f t="shared" si="3"/>
        <v>170000</v>
      </c>
      <c r="H129" s="63"/>
      <c r="I129" s="63"/>
      <c r="J129" s="63"/>
      <c r="K129" s="63"/>
      <c r="L129" s="63"/>
    </row>
    <row r="130" spans="1:12" ht="15" customHeight="1" x14ac:dyDescent="0.25">
      <c r="A130" s="185" t="str">
        <f>IF('Controlo de Propinas'!A131="","",'Controlo de Propinas'!A131)</f>
        <v>CM2-03</v>
      </c>
      <c r="B130" s="185" t="str">
        <f>IF('Controlo de Propinas'!B131="","",'Controlo de Propinas'!B131)</f>
        <v>Keane António Teixeira Correia de Azevedo</v>
      </c>
      <c r="C130" s="185" t="str">
        <f>IF('Controlo de Propinas'!C131="","",'Controlo de Propinas'!C131)</f>
        <v>CM2</v>
      </c>
      <c r="D130" s="63"/>
      <c r="E130" s="63"/>
      <c r="F130" s="195">
        <f>IF('Controlo de Propinas'!K131="","",'Controlo de Propinas'!K131)</f>
        <v>46239</v>
      </c>
      <c r="G130" s="64">
        <f t="shared" si="3"/>
        <v>170000</v>
      </c>
      <c r="H130" s="63"/>
      <c r="I130" s="63"/>
      <c r="J130" s="63"/>
      <c r="K130" s="63"/>
      <c r="L130" s="63"/>
    </row>
    <row r="131" spans="1:12" ht="15" customHeight="1" x14ac:dyDescent="0.25">
      <c r="A131" s="185" t="str">
        <f>IF('Controlo de Propinas'!A132="","",'Controlo de Propinas'!A132)</f>
        <v>CM2-04</v>
      </c>
      <c r="B131" s="185" t="str">
        <f>IF('Controlo de Propinas'!B132="","",'Controlo de Propinas'!B132)</f>
        <v>Márcio Uzziel Francisco Venâncio</v>
      </c>
      <c r="C131" s="185" t="str">
        <f>IF('Controlo de Propinas'!C132="","",'Controlo de Propinas'!C132)</f>
        <v>CM2</v>
      </c>
      <c r="D131" s="63"/>
      <c r="E131" s="63"/>
      <c r="F131" s="195">
        <f>IF('Controlo de Propinas'!K132="","",'Controlo de Propinas'!K132)</f>
        <v>46245</v>
      </c>
      <c r="G131" s="64">
        <f t="shared" si="3"/>
        <v>170000</v>
      </c>
      <c r="H131" s="63"/>
      <c r="I131" s="63"/>
      <c r="J131" s="63"/>
      <c r="K131" s="63"/>
      <c r="L131" s="63"/>
    </row>
    <row r="132" spans="1:12" ht="15" customHeight="1" x14ac:dyDescent="0.25">
      <c r="A132" s="185" t="str">
        <f>IF('Controlo de Propinas'!A133="","",'Controlo de Propinas'!A133)</f>
        <v/>
      </c>
      <c r="B132" s="185" t="str">
        <f>IF('Controlo de Propinas'!B133="","",'Controlo de Propinas'!B133)</f>
        <v/>
      </c>
      <c r="C132" s="185" t="str">
        <f>IF('Controlo de Propinas'!C133="","",'Controlo de Propinas'!C133)</f>
        <v>CM2</v>
      </c>
      <c r="D132" s="63"/>
      <c r="E132" s="63"/>
      <c r="F132" s="185" t="str">
        <f>IF('Controlo de Propinas'!K133="","",'Controlo de Propinas'!K133)</f>
        <v/>
      </c>
      <c r="G132" s="64">
        <f t="shared" si="3"/>
        <v>170000</v>
      </c>
      <c r="H132" s="63"/>
      <c r="I132" s="63"/>
      <c r="J132" s="63"/>
      <c r="K132" s="63"/>
      <c r="L132" s="63"/>
    </row>
    <row r="133" spans="1:12" ht="15" customHeight="1" x14ac:dyDescent="0.25">
      <c r="A133" s="185" t="str">
        <f>IF('Controlo de Propinas'!A134="","",'Controlo de Propinas'!A134)</f>
        <v/>
      </c>
      <c r="B133" s="185" t="str">
        <f>IF('Controlo de Propinas'!B134="","",'Controlo de Propinas'!B134)</f>
        <v/>
      </c>
      <c r="C133" s="185" t="str">
        <f>IF('Controlo de Propinas'!C134="","",'Controlo de Propinas'!C134)</f>
        <v>CM2</v>
      </c>
      <c r="D133" s="63"/>
      <c r="E133" s="63"/>
      <c r="F133" s="185" t="str">
        <f>IF('Controlo de Propinas'!K134="","",'Controlo de Propinas'!K134)</f>
        <v/>
      </c>
      <c r="G133" s="64">
        <f t="shared" si="3"/>
        <v>170000</v>
      </c>
      <c r="H133" s="63"/>
      <c r="I133" s="63"/>
      <c r="J133" s="63"/>
      <c r="K133" s="63"/>
      <c r="L133" s="63"/>
    </row>
    <row r="134" spans="1:12" ht="15" customHeight="1" x14ac:dyDescent="0.25">
      <c r="A134" s="185" t="str">
        <f>IF('Controlo de Propinas'!A135="","",'Controlo de Propinas'!A135)</f>
        <v/>
      </c>
      <c r="B134" s="185" t="str">
        <f>IF('Controlo de Propinas'!B135="","",'Controlo de Propinas'!B135)</f>
        <v/>
      </c>
      <c r="C134" s="185" t="str">
        <f>IF('Controlo de Propinas'!C135="","",'Controlo de Propinas'!C135)</f>
        <v>CM2</v>
      </c>
      <c r="D134" s="63"/>
      <c r="E134" s="63"/>
      <c r="F134" s="185" t="str">
        <f>IF('Controlo de Propinas'!K135="","",'Controlo de Propinas'!K135)</f>
        <v/>
      </c>
      <c r="G134" s="64">
        <f t="shared" si="3"/>
        <v>170000</v>
      </c>
      <c r="H134" s="63"/>
      <c r="I134" s="63"/>
      <c r="J134" s="63"/>
      <c r="K134" s="63"/>
      <c r="L134" s="63"/>
    </row>
    <row r="135" spans="1:12" ht="15" customHeight="1" x14ac:dyDescent="0.25">
      <c r="A135" s="185" t="str">
        <f>IF('Controlo de Propinas'!A136="","",'Controlo de Propinas'!A136)</f>
        <v/>
      </c>
      <c r="B135" s="185" t="str">
        <f>IF('Controlo de Propinas'!B136="","",'Controlo de Propinas'!B136)</f>
        <v/>
      </c>
      <c r="C135" s="185" t="str">
        <f>IF('Controlo de Propinas'!C136="","",'Controlo de Propinas'!C136)</f>
        <v>CM2</v>
      </c>
      <c r="D135" s="63"/>
      <c r="E135" s="63"/>
      <c r="F135" s="185" t="str">
        <f>IF('Controlo de Propinas'!K136="","",'Controlo de Propinas'!K136)</f>
        <v/>
      </c>
      <c r="G135" s="64">
        <f t="shared" si="3"/>
        <v>170000</v>
      </c>
      <c r="H135" s="63"/>
      <c r="I135" s="63"/>
      <c r="J135" s="63"/>
      <c r="K135" s="63"/>
      <c r="L135" s="63"/>
    </row>
    <row r="136" spans="1:12" ht="15" customHeight="1" x14ac:dyDescent="0.25">
      <c r="A136" s="185" t="str">
        <f>IF('Controlo de Propinas'!A137="","",'Controlo de Propinas'!A137)</f>
        <v/>
      </c>
      <c r="B136" s="185" t="str">
        <f>IF('Controlo de Propinas'!B137="","",'Controlo de Propinas'!B137)</f>
        <v/>
      </c>
      <c r="C136" s="185" t="str">
        <f>IF('Controlo de Propinas'!C137="","",'Controlo de Propinas'!C137)</f>
        <v>CM2</v>
      </c>
      <c r="D136" s="63"/>
      <c r="E136" s="63"/>
      <c r="F136" s="185" t="str">
        <f>IF('Controlo de Propinas'!K137="","",'Controlo de Propinas'!K137)</f>
        <v/>
      </c>
      <c r="G136" s="64">
        <f t="shared" si="3"/>
        <v>170000</v>
      </c>
      <c r="H136" s="63"/>
      <c r="I136" s="63"/>
      <c r="J136" s="63"/>
      <c r="K136" s="63"/>
      <c r="L136" s="63"/>
    </row>
    <row r="137" spans="1:12" ht="15" customHeight="1" x14ac:dyDescent="0.25">
      <c r="A137" s="185" t="str">
        <f>IF('Controlo de Propinas'!A138="","",'Controlo de Propinas'!A138)</f>
        <v/>
      </c>
      <c r="B137" s="185" t="str">
        <f>IF('Controlo de Propinas'!B138="","",'Controlo de Propinas'!B138)</f>
        <v/>
      </c>
      <c r="C137" s="185" t="str">
        <f>IF('Controlo de Propinas'!C138="","",'Controlo de Propinas'!C138)</f>
        <v>CM2</v>
      </c>
      <c r="D137" s="63"/>
      <c r="E137" s="63"/>
      <c r="F137" s="185" t="str">
        <f>IF('Controlo de Propinas'!K138="","",'Controlo de Propinas'!K138)</f>
        <v/>
      </c>
      <c r="G137" s="64">
        <f t="shared" si="3"/>
        <v>170000</v>
      </c>
      <c r="H137" s="63"/>
      <c r="I137" s="63"/>
      <c r="J137" s="63"/>
      <c r="K137" s="63"/>
      <c r="L137" s="63"/>
    </row>
    <row r="138" spans="1:12" ht="15" customHeight="1" x14ac:dyDescent="0.25">
      <c r="A138" s="185" t="str">
        <f>IF('Controlo de Propinas'!A139="","",'Controlo de Propinas'!A139)</f>
        <v/>
      </c>
      <c r="B138" s="185" t="str">
        <f>IF('Controlo de Propinas'!B139="","",'Controlo de Propinas'!B139)</f>
        <v/>
      </c>
      <c r="C138" s="185" t="str">
        <f>IF('Controlo de Propinas'!C139="","",'Controlo de Propinas'!C139)</f>
        <v>CM2</v>
      </c>
      <c r="D138" s="63"/>
      <c r="E138" s="63"/>
      <c r="F138" s="185" t="str">
        <f>IF('Controlo de Propinas'!K139="","",'Controlo de Propinas'!K139)</f>
        <v/>
      </c>
      <c r="G138" s="64">
        <f t="shared" si="3"/>
        <v>170000</v>
      </c>
      <c r="H138" s="63"/>
      <c r="I138" s="63"/>
      <c r="J138" s="63"/>
      <c r="K138" s="63"/>
      <c r="L138" s="63"/>
    </row>
    <row r="139" spans="1:12" ht="15" customHeight="1" x14ac:dyDescent="0.25">
      <c r="A139" s="185" t="str">
        <f>IF('Controlo de Propinas'!A140="","",'Controlo de Propinas'!A140)</f>
        <v/>
      </c>
      <c r="B139" s="185" t="str">
        <f>IF('Controlo de Propinas'!B140="","",'Controlo de Propinas'!B140)</f>
        <v/>
      </c>
      <c r="C139" s="185" t="str">
        <f>IF('Controlo de Propinas'!C140="","",'Controlo de Propinas'!C140)</f>
        <v>CM2</v>
      </c>
      <c r="D139" s="63"/>
      <c r="E139" s="63"/>
      <c r="F139" s="185" t="str">
        <f>IF('Controlo de Propinas'!K140="","",'Controlo de Propinas'!K140)</f>
        <v/>
      </c>
      <c r="G139" s="64">
        <f t="shared" si="3"/>
        <v>170000</v>
      </c>
      <c r="H139" s="63"/>
      <c r="I139" s="63"/>
      <c r="J139" s="63"/>
      <c r="K139" s="63"/>
      <c r="L139" s="63"/>
    </row>
    <row r="140" spans="1:12" ht="15" customHeight="1" x14ac:dyDescent="0.25">
      <c r="A140" s="185" t="str">
        <f>IF('Controlo de Propinas'!A141="","",'Controlo de Propinas'!A141)</f>
        <v/>
      </c>
      <c r="B140" s="185" t="str">
        <f>IF('Controlo de Propinas'!B141="","",'Controlo de Propinas'!B141)</f>
        <v/>
      </c>
      <c r="C140" s="185" t="str">
        <f>IF('Controlo de Propinas'!C141="","",'Controlo de Propinas'!C141)</f>
        <v>CM2</v>
      </c>
      <c r="D140" s="63"/>
      <c r="E140" s="63"/>
      <c r="F140" s="185" t="str">
        <f>IF('Controlo de Propinas'!K141="","",'Controlo de Propinas'!K141)</f>
        <v/>
      </c>
      <c r="G140" s="64">
        <f t="shared" si="3"/>
        <v>170000</v>
      </c>
      <c r="H140" s="63"/>
      <c r="I140" s="63"/>
      <c r="J140" s="63"/>
      <c r="K140" s="63"/>
      <c r="L140" s="63"/>
    </row>
    <row r="141" spans="1:12" ht="15" customHeight="1" x14ac:dyDescent="0.25">
      <c r="A141" s="185" t="str">
        <f>IF('Controlo de Propinas'!A142="","",'Controlo de Propinas'!A142)</f>
        <v/>
      </c>
      <c r="B141" s="185" t="str">
        <f>IF('Controlo de Propinas'!B142="","",'Controlo de Propinas'!B142)</f>
        <v/>
      </c>
      <c r="C141" s="185" t="str">
        <f>IF('Controlo de Propinas'!C142="","",'Controlo de Propinas'!C142)</f>
        <v>CM2</v>
      </c>
      <c r="D141" s="63"/>
      <c r="E141" s="63"/>
      <c r="F141" s="185" t="str">
        <f>IF('Controlo de Propinas'!K142="","",'Controlo de Propinas'!K142)</f>
        <v/>
      </c>
      <c r="G141" s="64">
        <f t="shared" si="3"/>
        <v>170000</v>
      </c>
      <c r="H141" s="63"/>
      <c r="I141" s="63"/>
      <c r="J141" s="63"/>
      <c r="K141" s="63"/>
      <c r="L141" s="63"/>
    </row>
    <row r="142" spans="1:12" ht="15" customHeight="1" x14ac:dyDescent="0.25">
      <c r="A142" s="185" t="str">
        <f>IF('Controlo de Propinas'!A143="","",'Controlo de Propinas'!A143)</f>
        <v/>
      </c>
      <c r="B142" s="185" t="str">
        <f>IF('Controlo de Propinas'!B143="","",'Controlo de Propinas'!B143)</f>
        <v/>
      </c>
      <c r="C142" s="185" t="str">
        <f>IF('Controlo de Propinas'!C143="","",'Controlo de Propinas'!C143)</f>
        <v>CM2</v>
      </c>
      <c r="D142" s="63"/>
      <c r="E142" s="63"/>
      <c r="F142" s="185" t="str">
        <f>IF('Controlo de Propinas'!K143="","",'Controlo de Propinas'!K143)</f>
        <v/>
      </c>
      <c r="G142" s="64" t="str">
        <f t="shared" si="3"/>
        <v/>
      </c>
      <c r="H142" s="63"/>
      <c r="I142" s="63"/>
      <c r="J142" s="63"/>
      <c r="K142" s="63"/>
      <c r="L142" s="63"/>
    </row>
    <row r="143" spans="1:12" ht="15" customHeight="1" x14ac:dyDescent="0.25">
      <c r="A143" s="185" t="str">
        <f>IF('Controlo de Propinas'!A144="","",'Controlo de Propinas'!A144)</f>
        <v/>
      </c>
      <c r="B143" s="185" t="str">
        <f>IF('Controlo de Propinas'!B144="","",'Controlo de Propinas'!B144)</f>
        <v/>
      </c>
      <c r="C143" s="185" t="str">
        <f>IF('Controlo de Propinas'!C144="","",'Controlo de Propinas'!C144)</f>
        <v>CM2</v>
      </c>
      <c r="D143" s="63"/>
      <c r="E143" s="63"/>
      <c r="F143" s="185" t="str">
        <f>IF('Controlo de Propinas'!K144="","",'Controlo de Propinas'!K144)</f>
        <v/>
      </c>
      <c r="G143" s="64" t="str">
        <f t="shared" si="3"/>
        <v/>
      </c>
      <c r="H143" s="63"/>
      <c r="I143" s="63"/>
      <c r="J143" s="63"/>
      <c r="K143" s="63"/>
      <c r="L143" s="63"/>
    </row>
    <row r="144" spans="1:12" ht="15" customHeight="1" x14ac:dyDescent="0.25">
      <c r="A144" s="185" t="str">
        <f>IF('Controlo de Propinas'!A145="","",'Controlo de Propinas'!A145)</f>
        <v/>
      </c>
      <c r="B144" s="185" t="str">
        <f>IF('Controlo de Propinas'!B145="","",'Controlo de Propinas'!B145)</f>
        <v/>
      </c>
      <c r="C144" s="185" t="str">
        <f>IF('Controlo de Propinas'!C145="","",'Controlo de Propinas'!C145)</f>
        <v>CM2</v>
      </c>
      <c r="D144" s="63"/>
      <c r="E144" s="63"/>
      <c r="F144" s="185" t="str">
        <f>IF('Controlo de Propinas'!K145="","",'Controlo de Propinas'!K145)</f>
        <v/>
      </c>
      <c r="G144" s="64" t="str">
        <f t="shared" si="3"/>
        <v/>
      </c>
      <c r="H144" s="63"/>
      <c r="I144" s="63"/>
      <c r="J144" s="63"/>
      <c r="K144" s="63"/>
      <c r="L144" s="63"/>
    </row>
    <row r="145" spans="1:12" ht="15" customHeight="1" x14ac:dyDescent="0.25">
      <c r="A145" s="185" t="str">
        <f>IF('Controlo de Propinas'!A146="","",'Controlo de Propinas'!A146)</f>
        <v/>
      </c>
      <c r="B145" s="185" t="str">
        <f>IF('Controlo de Propinas'!B146="","",'Controlo de Propinas'!B146)</f>
        <v/>
      </c>
      <c r="C145" s="185" t="str">
        <f>IF('Controlo de Propinas'!C146="","",'Controlo de Propinas'!C146)</f>
        <v>CM2</v>
      </c>
      <c r="D145" s="63"/>
      <c r="E145" s="63"/>
      <c r="F145" s="185" t="str">
        <f>IF('Controlo de Propinas'!K146="","",'Controlo de Propinas'!K146)</f>
        <v/>
      </c>
      <c r="G145" s="64">
        <f t="shared" si="3"/>
        <v>170000</v>
      </c>
      <c r="H145" s="63"/>
      <c r="I145" s="63"/>
      <c r="J145" s="63"/>
      <c r="K145" s="63"/>
      <c r="L145" s="63"/>
    </row>
    <row r="146" spans="1:12" ht="15" customHeight="1" x14ac:dyDescent="0.25">
      <c r="A146" s="185" t="str">
        <f>IF('Controlo de Propinas'!A147="","",'Controlo de Propinas'!A147)</f>
        <v/>
      </c>
      <c r="B146" s="185" t="str">
        <f>IF('Controlo de Propinas'!B147="","",'Controlo de Propinas'!B147)</f>
        <v/>
      </c>
      <c r="C146" s="185" t="str">
        <f>IF('Controlo de Propinas'!C147="","",'Controlo de Propinas'!C147)</f>
        <v>CM2</v>
      </c>
      <c r="D146" s="63"/>
      <c r="E146" s="63"/>
      <c r="F146" s="185" t="str">
        <f>IF('Controlo de Propinas'!K147="","",'Controlo de Propinas'!K147)</f>
        <v/>
      </c>
      <c r="G146" s="64">
        <f t="shared" si="3"/>
        <v>250000</v>
      </c>
      <c r="H146" s="63"/>
      <c r="I146" s="63"/>
      <c r="J146" s="63"/>
      <c r="K146" s="63"/>
      <c r="L146" s="63"/>
    </row>
    <row r="147" spans="1:12" ht="15" customHeight="1" x14ac:dyDescent="0.25">
      <c r="A147" s="185" t="str">
        <f>IF('Controlo de Propinas'!A148="","",'Controlo de Propinas'!A148)</f>
        <v/>
      </c>
      <c r="B147" s="185" t="str">
        <f>IF('Controlo de Propinas'!B148="","",'Controlo de Propinas'!B148)</f>
        <v/>
      </c>
      <c r="C147" s="185" t="str">
        <f>IF('Controlo de Propinas'!C148="","",'Controlo de Propinas'!C148)</f>
        <v>CM2</v>
      </c>
      <c r="D147" s="63"/>
      <c r="E147" s="63"/>
      <c r="F147" s="185" t="str">
        <f>IF('Controlo de Propinas'!K148="","",'Controlo de Propinas'!K148)</f>
        <v/>
      </c>
      <c r="G147" s="64">
        <f t="shared" si="3"/>
        <v>250000</v>
      </c>
      <c r="H147" s="63"/>
      <c r="I147" s="63"/>
      <c r="J147" s="63"/>
      <c r="K147" s="63"/>
      <c r="L147" s="63"/>
    </row>
    <row r="148" spans="1:12" ht="15" customHeight="1" x14ac:dyDescent="0.25">
      <c r="A148" s="185" t="str">
        <f>IF('Controlo de Propinas'!A149="","",'Controlo de Propinas'!A149)</f>
        <v/>
      </c>
      <c r="B148" s="185" t="str">
        <f>IF('Controlo de Propinas'!B149="","",'Controlo de Propinas'!B149)</f>
        <v/>
      </c>
      <c r="C148" s="185" t="str">
        <f>IF('Controlo de Propinas'!C149="","",'Controlo de Propinas'!C149)</f>
        <v>CM2</v>
      </c>
      <c r="D148" s="63"/>
      <c r="E148" s="63"/>
      <c r="F148" s="185" t="str">
        <f>IF('Controlo de Propinas'!K149="","",'Controlo de Propinas'!K149)</f>
        <v/>
      </c>
      <c r="G148" s="64">
        <f t="shared" si="3"/>
        <v>250000</v>
      </c>
      <c r="H148" s="63"/>
      <c r="I148" s="63"/>
      <c r="J148" s="63"/>
      <c r="K148" s="63"/>
      <c r="L148" s="63"/>
    </row>
    <row r="149" spans="1:12" ht="15" customHeight="1" x14ac:dyDescent="0.25">
      <c r="A149" s="185" t="str">
        <f>IF('Controlo de Propinas'!A150="","",'Controlo de Propinas'!A150)</f>
        <v/>
      </c>
      <c r="B149" s="185" t="str">
        <f>IF('Controlo de Propinas'!B150="","",'Controlo de Propinas'!B150)</f>
        <v/>
      </c>
      <c r="C149" s="185" t="str">
        <f>IF('Controlo de Propinas'!C150="","",'Controlo de Propinas'!C150)</f>
        <v>CM2</v>
      </c>
      <c r="D149" s="63"/>
      <c r="E149" s="63"/>
      <c r="F149" s="185" t="str">
        <f>IF('Controlo de Propinas'!K150="","",'Controlo de Propinas'!K150)</f>
        <v/>
      </c>
      <c r="G149" s="64">
        <f t="shared" si="3"/>
        <v>250000</v>
      </c>
      <c r="H149" s="63"/>
      <c r="I149" s="63"/>
      <c r="J149" s="63"/>
      <c r="K149" s="63"/>
      <c r="L149" s="63"/>
    </row>
    <row r="150" spans="1:12" ht="15" customHeight="1" x14ac:dyDescent="0.25">
      <c r="A150" s="185" t="str">
        <f>IF('Controlo de Propinas'!A151="","",'Controlo de Propinas'!A151)</f>
        <v/>
      </c>
      <c r="B150" s="185" t="str">
        <f>IF('Controlo de Propinas'!B151="","",'Controlo de Propinas'!B151)</f>
        <v/>
      </c>
      <c r="C150" s="185" t="str">
        <f>IF('Controlo de Propinas'!C151="","",'Controlo de Propinas'!C151)</f>
        <v>CM2</v>
      </c>
      <c r="D150" s="63"/>
      <c r="E150" s="63"/>
      <c r="F150" s="185" t="str">
        <f>IF('Controlo de Propinas'!K151="","",'Controlo de Propinas'!K151)</f>
        <v/>
      </c>
      <c r="G150" s="64">
        <f t="shared" si="3"/>
        <v>250000</v>
      </c>
      <c r="H150" s="63"/>
      <c r="I150" s="63"/>
      <c r="J150" s="63"/>
      <c r="K150" s="63"/>
      <c r="L150" s="63"/>
    </row>
    <row r="151" spans="1:12" ht="15" customHeight="1" x14ac:dyDescent="0.25">
      <c r="A151" s="185" t="str">
        <f>IF('Controlo de Propinas'!A152="","",'Controlo de Propinas'!A152)</f>
        <v/>
      </c>
      <c r="B151" s="185" t="str">
        <f>IF('Controlo de Propinas'!B152="","",'Controlo de Propinas'!B152)</f>
        <v/>
      </c>
      <c r="C151" s="185" t="str">
        <f>IF('Controlo de Propinas'!C152="","",'Controlo de Propinas'!C152)</f>
        <v>CM2</v>
      </c>
      <c r="D151" s="63"/>
      <c r="E151" s="63"/>
      <c r="F151" s="185" t="str">
        <f>IF('Controlo de Propinas'!K152="","",'Controlo de Propinas'!K152)</f>
        <v/>
      </c>
      <c r="G151" s="64">
        <f t="shared" si="3"/>
        <v>250000</v>
      </c>
      <c r="H151" s="63"/>
      <c r="I151" s="63"/>
      <c r="J151" s="63"/>
      <c r="K151" s="63"/>
      <c r="L151" s="63"/>
    </row>
    <row r="152" spans="1:12" ht="15" customHeight="1" x14ac:dyDescent="0.25">
      <c r="A152" s="185" t="str">
        <f>IF('Controlo de Propinas'!A153="","",'Controlo de Propinas'!A153)</f>
        <v/>
      </c>
      <c r="B152" s="185" t="str">
        <f>IF('Controlo de Propinas'!B153="","",'Controlo de Propinas'!B153)</f>
        <v/>
      </c>
      <c r="C152" s="185" t="str">
        <f>IF('Controlo de Propinas'!C153="","",'Controlo de Propinas'!C153)</f>
        <v>CM2</v>
      </c>
      <c r="D152" s="63"/>
      <c r="E152" s="63"/>
      <c r="F152" s="185" t="str">
        <f>IF('Controlo de Propinas'!K153="","",'Controlo de Propinas'!K153)</f>
        <v/>
      </c>
      <c r="G152" s="64">
        <f t="shared" si="3"/>
        <v>250000</v>
      </c>
      <c r="H152" s="63"/>
      <c r="I152" s="63"/>
      <c r="J152" s="63"/>
      <c r="K152" s="63"/>
      <c r="L152" s="63"/>
    </row>
    <row r="153" spans="1:12" ht="15" customHeight="1" x14ac:dyDescent="0.25">
      <c r="A153" s="185" t="str">
        <f>IF('Controlo de Propinas'!A154="","",'Controlo de Propinas'!A154)</f>
        <v/>
      </c>
      <c r="B153" s="185" t="str">
        <f>IF('Controlo de Propinas'!B154="","",'Controlo de Propinas'!B154)</f>
        <v/>
      </c>
      <c r="C153" s="185" t="str">
        <f>IF('Controlo de Propinas'!C154="","",'Controlo de Propinas'!C154)</f>
        <v>CM2</v>
      </c>
      <c r="D153" s="63"/>
      <c r="E153" s="63"/>
      <c r="F153" s="185" t="str">
        <f>IF('Controlo de Propinas'!K154="","",'Controlo de Propinas'!K154)</f>
        <v/>
      </c>
      <c r="G153" s="64">
        <f t="shared" si="3"/>
        <v>250000</v>
      </c>
      <c r="H153" s="63"/>
      <c r="I153" s="63"/>
      <c r="J153" s="63"/>
      <c r="K153" s="63"/>
      <c r="L153" s="63"/>
    </row>
    <row r="154" spans="1:12" ht="15" customHeight="1" x14ac:dyDescent="0.25">
      <c r="A154" s="185" t="str">
        <f>IF('Controlo de Propinas'!A155="","",'Controlo de Propinas'!A155)</f>
        <v/>
      </c>
      <c r="B154" s="185" t="str">
        <f>IF('Controlo de Propinas'!B155="","",'Controlo de Propinas'!B155)</f>
        <v/>
      </c>
      <c r="C154" s="185" t="str">
        <f>IF('Controlo de Propinas'!C155="","",'Controlo de Propinas'!C155)</f>
        <v>CM2</v>
      </c>
      <c r="D154" s="63"/>
      <c r="E154" s="63"/>
      <c r="F154" s="185" t="str">
        <f>IF('Controlo de Propinas'!K155="","",'Controlo de Propinas'!K155)</f>
        <v/>
      </c>
      <c r="G154" s="64">
        <f t="shared" si="3"/>
        <v>250000</v>
      </c>
      <c r="H154" s="63"/>
      <c r="I154" s="63"/>
      <c r="J154" s="63"/>
      <c r="K154" s="63"/>
      <c r="L154" s="63"/>
    </row>
    <row r="155" spans="1:12" ht="15" customHeight="1" x14ac:dyDescent="0.25">
      <c r="A155" s="185" t="str">
        <f>IF('Controlo de Propinas'!A156="","",'Controlo de Propinas'!A156)</f>
        <v/>
      </c>
      <c r="B155" s="185" t="str">
        <f>IF('Controlo de Propinas'!B156="","",'Controlo de Propinas'!B156)</f>
        <v/>
      </c>
      <c r="C155" s="185" t="str">
        <f>IF('Controlo de Propinas'!C156="","",'Controlo de Propinas'!C156)</f>
        <v>CM2</v>
      </c>
      <c r="D155" s="63"/>
      <c r="E155" s="63"/>
      <c r="F155" s="185" t="str">
        <f>IF('Controlo de Propinas'!K156="","",'Controlo de Propinas'!K156)</f>
        <v/>
      </c>
      <c r="G155" s="64">
        <f t="shared" si="3"/>
        <v>250000</v>
      </c>
      <c r="H155" s="63"/>
      <c r="I155" s="63"/>
      <c r="J155" s="63"/>
      <c r="K155" s="63"/>
      <c r="L155" s="63"/>
    </row>
    <row r="156" spans="1:12" ht="15" customHeight="1" x14ac:dyDescent="0.25">
      <c r="A156" s="185" t="str">
        <f>IF('Controlo de Propinas'!A157="","",'Controlo de Propinas'!A157)</f>
        <v/>
      </c>
      <c r="B156" s="185" t="str">
        <f>IF('Controlo de Propinas'!B157="","",'Controlo de Propinas'!B157)</f>
        <v/>
      </c>
      <c r="C156" s="185" t="str">
        <f>IF('Controlo de Propinas'!C157="","",'Controlo de Propinas'!C157)</f>
        <v>CM2</v>
      </c>
      <c r="D156" s="63"/>
      <c r="E156" s="63"/>
      <c r="F156" s="185" t="str">
        <f>IF('Controlo de Propinas'!K157="","",'Controlo de Propinas'!K157)</f>
        <v/>
      </c>
      <c r="G156" s="64">
        <f t="shared" si="3"/>
        <v>250000</v>
      </c>
      <c r="H156" s="63"/>
      <c r="I156" s="63"/>
      <c r="J156" s="63"/>
      <c r="K156" s="63"/>
      <c r="L156" s="63"/>
    </row>
    <row r="157" spans="1:12" ht="15" customHeight="1" x14ac:dyDescent="0.25">
      <c r="A157" s="185" t="str">
        <f>IF('Controlo de Propinas'!A158="","",'Controlo de Propinas'!A158)</f>
        <v/>
      </c>
      <c r="B157" s="185" t="str">
        <f>IF('Controlo de Propinas'!B158="","",'Controlo de Propinas'!B158)</f>
        <v/>
      </c>
      <c r="C157" s="185" t="str">
        <f>IF('Controlo de Propinas'!C158="","",'Controlo de Propinas'!C158)</f>
        <v>CM2</v>
      </c>
      <c r="D157" s="63"/>
      <c r="E157" s="63"/>
      <c r="F157" s="185" t="str">
        <f>IF('Controlo de Propinas'!K158="","",'Controlo de Propinas'!K158)</f>
        <v/>
      </c>
      <c r="G157" s="64">
        <f t="shared" si="3"/>
        <v>250000</v>
      </c>
      <c r="H157" s="63"/>
      <c r="I157" s="63"/>
      <c r="J157" s="63"/>
      <c r="K157" s="63"/>
      <c r="L157" s="63"/>
    </row>
    <row r="158" spans="1:12" ht="15" customHeight="1" x14ac:dyDescent="0.25">
      <c r="A158" s="185" t="str">
        <f>IF('Controlo de Propinas'!A159="","",'Controlo de Propinas'!A159)</f>
        <v/>
      </c>
      <c r="B158" s="185" t="str">
        <f>IF('Controlo de Propinas'!B159="","",'Controlo de Propinas'!B159)</f>
        <v/>
      </c>
      <c r="C158" s="185" t="str">
        <f>IF('Controlo de Propinas'!C159="","",'Controlo de Propinas'!C159)</f>
        <v>CM2</v>
      </c>
      <c r="D158" s="63"/>
      <c r="E158" s="63"/>
      <c r="F158" s="185" t="str">
        <f>IF('Controlo de Propinas'!K159="","",'Controlo de Propinas'!K159)</f>
        <v/>
      </c>
      <c r="G158" s="64">
        <f t="shared" si="3"/>
        <v>250000</v>
      </c>
      <c r="H158" s="63"/>
      <c r="I158" s="63"/>
      <c r="J158" s="63"/>
      <c r="K158" s="63"/>
      <c r="L158" s="63"/>
    </row>
    <row r="159" spans="1:12" ht="15" customHeight="1" x14ac:dyDescent="0.25">
      <c r="A159" s="185" t="str">
        <f>IF('Controlo de Propinas'!A160="","",'Controlo de Propinas'!A160)</f>
        <v/>
      </c>
      <c r="B159" s="185" t="str">
        <f>IF('Controlo de Propinas'!B160="","",'Controlo de Propinas'!B160)</f>
        <v/>
      </c>
      <c r="C159" s="185" t="str">
        <f>IF('Controlo de Propinas'!C160="","",'Controlo de Propinas'!C160)</f>
        <v>CM2</v>
      </c>
      <c r="D159" s="63"/>
      <c r="E159" s="63"/>
      <c r="F159" s="185" t="str">
        <f>IF('Controlo de Propinas'!K160="","",'Controlo de Propinas'!K160)</f>
        <v/>
      </c>
      <c r="G159" s="64">
        <f t="shared" si="3"/>
        <v>250000</v>
      </c>
      <c r="H159" s="63"/>
      <c r="I159" s="63"/>
      <c r="J159" s="63"/>
      <c r="K159" s="63"/>
      <c r="L159" s="63"/>
    </row>
    <row r="160" spans="1:12" ht="15" customHeight="1" x14ac:dyDescent="0.25">
      <c r="A160" s="185" t="str">
        <f>IF('Controlo de Propinas'!A161="","",'Controlo de Propinas'!A161)</f>
        <v/>
      </c>
      <c r="B160" s="185" t="str">
        <f>IF('Controlo de Propinas'!B161="","",'Controlo de Propinas'!B161)</f>
        <v/>
      </c>
      <c r="C160" s="185" t="str">
        <f>IF('Controlo de Propinas'!C161="","",'Controlo de Propinas'!C161)</f>
        <v>CM2</v>
      </c>
      <c r="D160" s="63"/>
      <c r="E160" s="63"/>
      <c r="F160" s="185" t="str">
        <f>IF('Controlo de Propinas'!K161="","",'Controlo de Propinas'!K161)</f>
        <v/>
      </c>
      <c r="G160" s="64">
        <f t="shared" si="3"/>
        <v>250000</v>
      </c>
      <c r="H160" s="63"/>
      <c r="I160" s="63"/>
      <c r="J160" s="63"/>
      <c r="K160" s="63"/>
      <c r="L160" s="63"/>
    </row>
    <row r="161" spans="1:12" ht="15" customHeight="1" x14ac:dyDescent="0.25">
      <c r="A161" s="185" t="str">
        <f>IF('Controlo de Propinas'!A162="","",'Controlo de Propinas'!A162)</f>
        <v/>
      </c>
      <c r="B161" s="185" t="str">
        <f>IF('Controlo de Propinas'!B162="","",'Controlo de Propinas'!B162)</f>
        <v/>
      </c>
      <c r="C161" s="185" t="str">
        <f>IF('Controlo de Propinas'!C162="","",'Controlo de Propinas'!C162)</f>
        <v>CM2</v>
      </c>
      <c r="D161" s="63"/>
      <c r="E161" s="63"/>
      <c r="F161" s="185" t="str">
        <f>IF('Controlo de Propinas'!K162="","",'Controlo de Propinas'!K162)</f>
        <v/>
      </c>
      <c r="G161" s="64">
        <f t="shared" si="3"/>
        <v>250000</v>
      </c>
      <c r="H161" s="63"/>
      <c r="I161" s="63"/>
      <c r="J161" s="63"/>
      <c r="K161" s="63"/>
      <c r="L161" s="63"/>
    </row>
    <row r="162" spans="1:12" ht="15" customHeight="1" x14ac:dyDescent="0.25">
      <c r="A162" s="185" t="str">
        <f>IF('Controlo de Propinas'!A163="","",'Controlo de Propinas'!A163)</f>
        <v/>
      </c>
      <c r="B162" s="185" t="str">
        <f>IF('Controlo de Propinas'!B163="","",'Controlo de Propinas'!B163)</f>
        <v/>
      </c>
      <c r="C162" s="185" t="str">
        <f>IF('Controlo de Propinas'!C163="","",'Controlo de Propinas'!C163)</f>
        <v>CM2</v>
      </c>
      <c r="D162" s="63"/>
      <c r="E162" s="63"/>
      <c r="F162" s="185" t="str">
        <f>IF('Controlo de Propinas'!K163="","",'Controlo de Propinas'!K163)</f>
        <v/>
      </c>
      <c r="G162" s="64">
        <f t="shared" si="3"/>
        <v>250000</v>
      </c>
      <c r="H162" s="63"/>
      <c r="I162" s="63"/>
      <c r="J162" s="63"/>
      <c r="K162" s="63"/>
      <c r="L162" s="63"/>
    </row>
    <row r="163" spans="1:12" ht="15" customHeight="1" x14ac:dyDescent="0.25">
      <c r="A163" s="185" t="str">
        <f>IF('Controlo de Propinas'!A164="","",'Controlo de Propinas'!A164)</f>
        <v/>
      </c>
      <c r="B163" s="185" t="str">
        <f>IF('Controlo de Propinas'!B164="","",'Controlo de Propinas'!B164)</f>
        <v/>
      </c>
      <c r="C163" s="185" t="str">
        <f>IF('Controlo de Propinas'!C164="","",'Controlo de Propinas'!C164)</f>
        <v>CM2</v>
      </c>
      <c r="D163" s="63"/>
      <c r="E163" s="63"/>
      <c r="F163" s="185" t="str">
        <f>IF('Controlo de Propinas'!K164="","",'Controlo de Propinas'!K164)</f>
        <v/>
      </c>
      <c r="G163" s="64">
        <f t="shared" si="3"/>
        <v>250000</v>
      </c>
      <c r="H163" s="63"/>
      <c r="I163" s="63"/>
      <c r="J163" s="63"/>
      <c r="K163" s="63"/>
      <c r="L163" s="63"/>
    </row>
    <row r="164" spans="1:12" ht="15" customHeight="1" x14ac:dyDescent="0.25">
      <c r="A164" s="185" t="str">
        <f>IF('Controlo de Propinas'!A165="","",'Controlo de Propinas'!A165)</f>
        <v/>
      </c>
      <c r="B164" s="185" t="str">
        <f>IF('Controlo de Propinas'!B165="","",'Controlo de Propinas'!B165)</f>
        <v/>
      </c>
      <c r="C164" s="185" t="str">
        <f>IF('Controlo de Propinas'!C165="","",'Controlo de Propinas'!C165)</f>
        <v>CM2</v>
      </c>
      <c r="D164" s="63"/>
      <c r="E164" s="63"/>
      <c r="F164" s="185" t="str">
        <f>IF('Controlo de Propinas'!K165="","",'Controlo de Propinas'!K165)</f>
        <v/>
      </c>
      <c r="G164" s="64">
        <f t="shared" si="3"/>
        <v>250000</v>
      </c>
      <c r="H164" s="63"/>
      <c r="I164" s="63"/>
      <c r="J164" s="63"/>
      <c r="K164" s="63"/>
      <c r="L164" s="63"/>
    </row>
    <row r="165" spans="1:12" ht="15" customHeight="1" x14ac:dyDescent="0.25">
      <c r="A165" s="185" t="str">
        <f>IF('Controlo de Propinas'!A166="","",'Controlo de Propinas'!A166)</f>
        <v/>
      </c>
      <c r="B165" s="185" t="str">
        <f>IF('Controlo de Propinas'!B166="","",'Controlo de Propinas'!B166)</f>
        <v/>
      </c>
      <c r="C165" s="185" t="str">
        <f>IF('Controlo de Propinas'!C166="","",'Controlo de Propinas'!C166)</f>
        <v>CM2</v>
      </c>
      <c r="D165" s="63"/>
      <c r="E165" s="63"/>
      <c r="F165" s="185" t="str">
        <f>IF('Controlo de Propinas'!K166="","",'Controlo de Propinas'!K166)</f>
        <v/>
      </c>
      <c r="G165" s="64">
        <f t="shared" si="3"/>
        <v>250000</v>
      </c>
      <c r="H165" s="63"/>
      <c r="I165" s="63"/>
      <c r="J165" s="63"/>
      <c r="K165" s="63"/>
      <c r="L165" s="63"/>
    </row>
    <row r="166" spans="1:12" ht="15" customHeight="1" x14ac:dyDescent="0.25">
      <c r="A166" s="185" t="str">
        <f>IF('Controlo de Propinas'!A167="","",'Controlo de Propinas'!A167)</f>
        <v/>
      </c>
      <c r="B166" s="185" t="str">
        <f>IF('Controlo de Propinas'!B167="","",'Controlo de Propinas'!B167)</f>
        <v/>
      </c>
      <c r="C166" s="185" t="str">
        <f>IF('Controlo de Propinas'!C167="","",'Controlo de Propinas'!C167)</f>
        <v>CM2</v>
      </c>
      <c r="D166" s="63"/>
      <c r="E166" s="63"/>
      <c r="F166" s="185" t="str">
        <f>IF('Controlo de Propinas'!K167="","",'Controlo de Propinas'!K167)</f>
        <v/>
      </c>
      <c r="G166" s="64">
        <f t="shared" si="3"/>
        <v>250000</v>
      </c>
      <c r="H166" s="63"/>
      <c r="I166" s="63"/>
      <c r="J166" s="63"/>
      <c r="K166" s="63"/>
      <c r="L166" s="63"/>
    </row>
    <row r="167" spans="1:12" ht="15" customHeight="1" x14ac:dyDescent="0.25">
      <c r="A167" s="185" t="str">
        <f>IF('Controlo de Propinas'!A168="","",'Controlo de Propinas'!A168)</f>
        <v/>
      </c>
      <c r="B167" s="185" t="str">
        <f>IF('Controlo de Propinas'!B168="","",'Controlo de Propinas'!B168)</f>
        <v/>
      </c>
      <c r="C167" s="185" t="str">
        <f>IF('Controlo de Propinas'!C168="","",'Controlo de Propinas'!C168)</f>
        <v>CM2</v>
      </c>
      <c r="D167" s="63"/>
      <c r="E167" s="63"/>
      <c r="F167" s="185" t="str">
        <f>IF('Controlo de Propinas'!K168="","",'Controlo de Propinas'!K168)</f>
        <v/>
      </c>
      <c r="G167" s="64">
        <f t="shared" si="3"/>
        <v>250000</v>
      </c>
      <c r="H167" s="63"/>
      <c r="I167" s="63"/>
      <c r="J167" s="63"/>
      <c r="K167" s="63"/>
      <c r="L167" s="63"/>
    </row>
    <row r="168" spans="1:12" ht="15" customHeight="1" x14ac:dyDescent="0.25">
      <c r="A168" s="185" t="str">
        <f>IF('Controlo de Propinas'!A169="","",'Controlo de Propinas'!A169)</f>
        <v/>
      </c>
      <c r="B168" s="185" t="str">
        <f>IF('Controlo de Propinas'!B169="","",'Controlo de Propinas'!B169)</f>
        <v/>
      </c>
      <c r="C168" s="185" t="str">
        <f>IF('Controlo de Propinas'!C169="","",'Controlo de Propinas'!C169)</f>
        <v>CM2</v>
      </c>
      <c r="D168" s="63"/>
      <c r="E168" s="63"/>
      <c r="F168" s="185" t="str">
        <f>IF('Controlo de Propinas'!K169="","",'Controlo de Propinas'!K169)</f>
        <v/>
      </c>
      <c r="G168" s="64">
        <f t="shared" si="3"/>
        <v>250000</v>
      </c>
      <c r="H168" s="63"/>
      <c r="I168" s="63"/>
      <c r="J168" s="63"/>
      <c r="K168" s="63"/>
      <c r="L168" s="63"/>
    </row>
    <row r="169" spans="1:12" ht="15" customHeight="1" x14ac:dyDescent="0.25">
      <c r="A169" s="185" t="str">
        <f>IF('Controlo de Propinas'!A170="","",'Controlo de Propinas'!A170)</f>
        <v/>
      </c>
      <c r="B169" s="185" t="str">
        <f>IF('Controlo de Propinas'!B170="","",'Controlo de Propinas'!B170)</f>
        <v/>
      </c>
      <c r="C169" s="185" t="str">
        <f>IF('Controlo de Propinas'!C170="","",'Controlo de Propinas'!C170)</f>
        <v>CM2</v>
      </c>
      <c r="D169" s="63"/>
      <c r="E169" s="63"/>
      <c r="F169" s="185" t="str">
        <f>IF('Controlo de Propinas'!K170="","",'Controlo de Propinas'!K170)</f>
        <v/>
      </c>
      <c r="G169" s="64">
        <f t="shared" si="3"/>
        <v>250000</v>
      </c>
      <c r="H169" s="63"/>
      <c r="I169" s="63"/>
      <c r="J169" s="63"/>
      <c r="K169" s="63"/>
      <c r="L169" s="63"/>
    </row>
    <row r="170" spans="1:12" ht="15" customHeight="1" x14ac:dyDescent="0.25">
      <c r="A170" s="185" t="str">
        <f>IF('Controlo de Propinas'!A171="","",'Controlo de Propinas'!A171)</f>
        <v/>
      </c>
      <c r="B170" s="185" t="str">
        <f>IF('Controlo de Propinas'!B171="","",'Controlo de Propinas'!B171)</f>
        <v/>
      </c>
      <c r="C170" s="185" t="str">
        <f>IF('Controlo de Propinas'!C171="","",'Controlo de Propinas'!C171)</f>
        <v>CM2</v>
      </c>
      <c r="D170" s="63"/>
      <c r="E170" s="63"/>
      <c r="F170" s="185" t="str">
        <f>IF('Controlo de Propinas'!K171="","",'Controlo de Propinas'!K171)</f>
        <v/>
      </c>
      <c r="G170" s="64">
        <f t="shared" si="3"/>
        <v>250000</v>
      </c>
      <c r="H170" s="63"/>
      <c r="I170" s="63"/>
      <c r="J170" s="63"/>
      <c r="K170" s="63"/>
      <c r="L170" s="63"/>
    </row>
    <row r="171" spans="1:12" x14ac:dyDescent="0.25">
      <c r="A171" s="185" t="str">
        <f>IF('Controlo de Propinas'!A172="","",'Controlo de Propinas'!A172)</f>
        <v/>
      </c>
      <c r="B171" s="185" t="str">
        <f>IF('Controlo de Propinas'!B172="","",'Controlo de Propinas'!B172)</f>
        <v/>
      </c>
      <c r="C171" s="185" t="str">
        <f>IF('Controlo de Propinas'!C172="","",'Controlo de Propinas'!C172)</f>
        <v>CM2</v>
      </c>
      <c r="D171" s="63"/>
      <c r="E171" s="63"/>
      <c r="F171" s="185" t="str">
        <f>IF('Controlo de Propinas'!K172="","",'Controlo de Propinas'!K172)</f>
        <v/>
      </c>
      <c r="G171" s="64">
        <f t="shared" si="3"/>
        <v>250000</v>
      </c>
      <c r="H171" s="63"/>
      <c r="I171" s="63"/>
      <c r="J171" s="63"/>
      <c r="K171" s="63"/>
      <c r="L171" s="63"/>
    </row>
    <row r="172" spans="1:12" ht="15" customHeight="1" x14ac:dyDescent="0.25">
      <c r="A172" s="258" t="e">
        <f>IF('Controlo de Propinas'!#REF!="","",'Controlo de Propinas'!#REF!)</f>
        <v>#REF!</v>
      </c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5"/>
    </row>
    <row r="173" spans="1:12" ht="25.5" customHeight="1" x14ac:dyDescent="0.25">
      <c r="A173" s="185" t="str">
        <f>IF('Controlo de Propinas'!A173="","",'Controlo de Propinas'!A173)</f>
        <v/>
      </c>
      <c r="B173" s="185" t="str">
        <f>IF('Controlo de Propinas'!B173="","",'Controlo de Propinas'!B173)</f>
        <v/>
      </c>
      <c r="C173" s="185" t="str">
        <f>IF('Controlo de Propinas'!C173="","",'Controlo de Propinas'!C173)</f>
        <v>CM2</v>
      </c>
      <c r="D173" s="63"/>
      <c r="E173" s="63"/>
      <c r="F173" s="185" t="str">
        <f>IF('Controlo de Propinas'!K173="","",'Controlo de Propinas'!K173)</f>
        <v/>
      </c>
      <c r="G173" s="64">
        <f t="shared" ref="G173:G187" si="4">IF(C155="","",IF(OR(C155="Maternelle",C155="Maternelle P1",C155="Maternelle P2",C155="Maternelle P3"),170000,IF(C155="CM2",250000,IF(C155="4eme",260000,170000))))</f>
        <v>250000</v>
      </c>
      <c r="H173" s="63"/>
      <c r="I173" s="63"/>
      <c r="J173" s="63"/>
      <c r="K173" s="63"/>
      <c r="L173" s="63"/>
    </row>
    <row r="174" spans="1:12" ht="15" customHeight="1" x14ac:dyDescent="0.25">
      <c r="A174" s="185" t="str">
        <f>IF('Controlo de Propinas'!A174="","",'Controlo de Propinas'!A174)</f>
        <v/>
      </c>
      <c r="B174" s="185" t="str">
        <f>IF('Controlo de Propinas'!B174="","",'Controlo de Propinas'!B174)</f>
        <v/>
      </c>
      <c r="C174" s="185" t="str">
        <f>IF('Controlo de Propinas'!C174="","",'Controlo de Propinas'!C174)</f>
        <v>CM2</v>
      </c>
      <c r="D174" s="63"/>
      <c r="E174" s="63"/>
      <c r="F174" s="185" t="str">
        <f>IF('Controlo de Propinas'!K174="","",'Controlo de Propinas'!K174)</f>
        <v/>
      </c>
      <c r="G174" s="64">
        <f t="shared" si="4"/>
        <v>250000</v>
      </c>
      <c r="H174" s="63"/>
      <c r="I174" s="63"/>
      <c r="J174" s="63"/>
      <c r="K174" s="63"/>
      <c r="L174" s="63"/>
    </row>
    <row r="175" spans="1:12" ht="15" customHeight="1" x14ac:dyDescent="0.25">
      <c r="A175" s="185" t="str">
        <f>IF('Controlo de Propinas'!A175="","",'Controlo de Propinas'!A175)</f>
        <v/>
      </c>
      <c r="B175" s="185" t="str">
        <f>IF('Controlo de Propinas'!B175="","",'Controlo de Propinas'!B175)</f>
        <v/>
      </c>
      <c r="C175" s="185" t="str">
        <f>IF('Controlo de Propinas'!C175="","",'Controlo de Propinas'!C175)</f>
        <v>CM2</v>
      </c>
      <c r="D175" s="63"/>
      <c r="E175" s="63"/>
      <c r="F175" s="185" t="str">
        <f>IF('Controlo de Propinas'!K175="","",'Controlo de Propinas'!K175)</f>
        <v/>
      </c>
      <c r="G175" s="64">
        <f t="shared" si="4"/>
        <v>250000</v>
      </c>
      <c r="H175" s="63"/>
      <c r="I175" s="63"/>
      <c r="J175" s="63"/>
      <c r="K175" s="63"/>
      <c r="L175" s="63"/>
    </row>
    <row r="176" spans="1:12" ht="15" customHeight="1" x14ac:dyDescent="0.25">
      <c r="A176" s="185" t="str">
        <f>IF('Controlo de Propinas'!A176="","",'Controlo de Propinas'!A176)</f>
        <v/>
      </c>
      <c r="B176" s="185" t="str">
        <f>IF('Controlo de Propinas'!B176="","",'Controlo de Propinas'!B176)</f>
        <v/>
      </c>
      <c r="C176" s="185" t="str">
        <f>IF('Controlo de Propinas'!C176="","",'Controlo de Propinas'!C176)</f>
        <v>CM2</v>
      </c>
      <c r="D176" s="63"/>
      <c r="E176" s="63"/>
      <c r="F176" s="185" t="str">
        <f>IF('Controlo de Propinas'!K176="","",'Controlo de Propinas'!K176)</f>
        <v/>
      </c>
      <c r="G176" s="64">
        <f t="shared" si="4"/>
        <v>250000</v>
      </c>
      <c r="H176" s="63"/>
      <c r="I176" s="63"/>
      <c r="J176" s="63"/>
      <c r="K176" s="63"/>
      <c r="L176" s="63"/>
    </row>
    <row r="177" spans="1:12" ht="15" customHeight="1" x14ac:dyDescent="0.25">
      <c r="A177" s="185" t="str">
        <f>IF('Controlo de Propinas'!A177="","",'Controlo de Propinas'!A177)</f>
        <v/>
      </c>
      <c r="B177" s="185" t="str">
        <f>IF('Controlo de Propinas'!B177="","",'Controlo de Propinas'!B177)</f>
        <v/>
      </c>
      <c r="C177" s="185" t="str">
        <f>IF('Controlo de Propinas'!C177="","",'Controlo de Propinas'!C177)</f>
        <v>CM2</v>
      </c>
      <c r="D177" s="63"/>
      <c r="E177" s="63"/>
      <c r="F177" s="185" t="str">
        <f>IF('Controlo de Propinas'!K177="","",'Controlo de Propinas'!K177)</f>
        <v/>
      </c>
      <c r="G177" s="64">
        <f t="shared" si="4"/>
        <v>250000</v>
      </c>
      <c r="H177" s="63"/>
      <c r="I177" s="63"/>
      <c r="J177" s="63"/>
      <c r="K177" s="63"/>
      <c r="L177" s="63"/>
    </row>
    <row r="178" spans="1:12" ht="15" customHeight="1" x14ac:dyDescent="0.25">
      <c r="A178" s="185" t="str">
        <f>IF('Controlo de Propinas'!A178="","",'Controlo de Propinas'!A178)</f>
        <v/>
      </c>
      <c r="B178" s="185" t="str">
        <f>IF('Controlo de Propinas'!B178="","",'Controlo de Propinas'!B178)</f>
        <v/>
      </c>
      <c r="C178" s="185" t="str">
        <f>IF('Controlo de Propinas'!C178="","",'Controlo de Propinas'!C178)</f>
        <v>CM2</v>
      </c>
      <c r="D178" s="63"/>
      <c r="E178" s="63"/>
      <c r="F178" s="185" t="str">
        <f>IF('Controlo de Propinas'!K178="","",'Controlo de Propinas'!K178)</f>
        <v/>
      </c>
      <c r="G178" s="64">
        <f t="shared" si="4"/>
        <v>250000</v>
      </c>
      <c r="H178" s="63"/>
      <c r="I178" s="63"/>
      <c r="J178" s="63"/>
      <c r="K178" s="63"/>
      <c r="L178" s="63"/>
    </row>
    <row r="179" spans="1:12" ht="15" customHeight="1" x14ac:dyDescent="0.25">
      <c r="A179" s="185" t="str">
        <f>IF('Controlo de Propinas'!A179="","",'Controlo de Propinas'!A179)</f>
        <v/>
      </c>
      <c r="B179" s="185" t="str">
        <f>IF('Controlo de Propinas'!B179="","",'Controlo de Propinas'!B179)</f>
        <v/>
      </c>
      <c r="C179" s="185" t="str">
        <f>IF('Controlo de Propinas'!C179="","",'Controlo de Propinas'!C179)</f>
        <v>CM2</v>
      </c>
      <c r="D179" s="63"/>
      <c r="E179" s="63"/>
      <c r="F179" s="185" t="str">
        <f>IF('Controlo de Propinas'!K179="","",'Controlo de Propinas'!K179)</f>
        <v/>
      </c>
      <c r="G179" s="64">
        <f t="shared" si="4"/>
        <v>250000</v>
      </c>
      <c r="H179" s="63"/>
      <c r="I179" s="63"/>
      <c r="J179" s="63"/>
      <c r="K179" s="63"/>
      <c r="L179" s="63"/>
    </row>
    <row r="180" spans="1:12" ht="15" customHeight="1" x14ac:dyDescent="0.25">
      <c r="A180" s="185" t="str">
        <f>IF('Controlo de Propinas'!A180="","",'Controlo de Propinas'!A180)</f>
        <v/>
      </c>
      <c r="B180" s="185" t="str">
        <f>IF('Controlo de Propinas'!B180="","",'Controlo de Propinas'!B180)</f>
        <v/>
      </c>
      <c r="C180" s="185" t="str">
        <f>IF('Controlo de Propinas'!C180="","",'Controlo de Propinas'!C180)</f>
        <v>CM2</v>
      </c>
      <c r="D180" s="63"/>
      <c r="E180" s="63"/>
      <c r="F180" s="185" t="str">
        <f>IF('Controlo de Propinas'!K180="","",'Controlo de Propinas'!K180)</f>
        <v/>
      </c>
      <c r="G180" s="64">
        <f t="shared" si="4"/>
        <v>250000</v>
      </c>
      <c r="H180" s="63"/>
      <c r="I180" s="63"/>
      <c r="J180" s="63"/>
      <c r="K180" s="63"/>
      <c r="L180" s="63"/>
    </row>
    <row r="181" spans="1:12" ht="15" customHeight="1" x14ac:dyDescent="0.25">
      <c r="A181" s="185" t="str">
        <f>IF('Controlo de Propinas'!A181="","",'Controlo de Propinas'!A181)</f>
        <v/>
      </c>
      <c r="B181" s="185" t="str">
        <f>IF('Controlo de Propinas'!B181="","",'Controlo de Propinas'!B181)</f>
        <v/>
      </c>
      <c r="C181" s="185" t="str">
        <f>IF('Controlo de Propinas'!C181="","",'Controlo de Propinas'!C181)</f>
        <v>CM2</v>
      </c>
      <c r="D181" s="63"/>
      <c r="E181" s="63"/>
      <c r="F181" s="185" t="str">
        <f>IF('Controlo de Propinas'!K181="","",'Controlo de Propinas'!K181)</f>
        <v/>
      </c>
      <c r="G181" s="64">
        <f t="shared" si="4"/>
        <v>250000</v>
      </c>
      <c r="H181" s="63"/>
      <c r="I181" s="63"/>
      <c r="J181" s="63"/>
      <c r="K181" s="63"/>
      <c r="L181" s="63"/>
    </row>
    <row r="182" spans="1:12" ht="15" customHeight="1" x14ac:dyDescent="0.25">
      <c r="A182" s="185" t="str">
        <f>IF('Controlo de Propinas'!A182="","",'Controlo de Propinas'!A182)</f>
        <v/>
      </c>
      <c r="B182" s="185" t="str">
        <f>IF('Controlo de Propinas'!B182="","",'Controlo de Propinas'!B182)</f>
        <v/>
      </c>
      <c r="C182" s="185" t="str">
        <f>IF('Controlo de Propinas'!C182="","",'Controlo de Propinas'!C182)</f>
        <v>CM2</v>
      </c>
      <c r="D182" s="63"/>
      <c r="E182" s="63"/>
      <c r="F182" s="185" t="str">
        <f>IF('Controlo de Propinas'!K182="","",'Controlo de Propinas'!K182)</f>
        <v/>
      </c>
      <c r="G182" s="64">
        <f t="shared" si="4"/>
        <v>250000</v>
      </c>
      <c r="H182" s="63"/>
      <c r="I182" s="63"/>
      <c r="J182" s="63"/>
      <c r="K182" s="63"/>
      <c r="L182" s="63"/>
    </row>
    <row r="183" spans="1:12" ht="15" customHeight="1" x14ac:dyDescent="0.25">
      <c r="A183" s="185" t="str">
        <f>IF('Controlo de Propinas'!A183="","",'Controlo de Propinas'!A183)</f>
        <v/>
      </c>
      <c r="B183" s="185" t="str">
        <f>IF('Controlo de Propinas'!B183="","",'Controlo de Propinas'!B183)</f>
        <v/>
      </c>
      <c r="C183" s="185" t="str">
        <f>IF('Controlo de Propinas'!C183="","",'Controlo de Propinas'!C183)</f>
        <v>CM2</v>
      </c>
      <c r="D183" s="63"/>
      <c r="E183" s="63"/>
      <c r="F183" s="185" t="str">
        <f>IF('Controlo de Propinas'!K183="","",'Controlo de Propinas'!K183)</f>
        <v/>
      </c>
      <c r="G183" s="64">
        <f t="shared" si="4"/>
        <v>250000</v>
      </c>
      <c r="H183" s="63"/>
      <c r="I183" s="63"/>
      <c r="J183" s="63"/>
      <c r="K183" s="63"/>
      <c r="L183" s="63"/>
    </row>
    <row r="184" spans="1:12" ht="15" customHeight="1" x14ac:dyDescent="0.25">
      <c r="A184" s="185" t="str">
        <f>IF('Controlo de Propinas'!A184="","",'Controlo de Propinas'!A184)</f>
        <v/>
      </c>
      <c r="B184" s="185" t="str">
        <f>IF('Controlo de Propinas'!B184="","",'Controlo de Propinas'!B184)</f>
        <v/>
      </c>
      <c r="C184" s="185" t="str">
        <f>IF('Controlo de Propinas'!C184="","",'Controlo de Propinas'!C184)</f>
        <v>CM2</v>
      </c>
      <c r="D184" s="63"/>
      <c r="E184" s="63"/>
      <c r="F184" s="185" t="str">
        <f>IF('Controlo de Propinas'!K184="","",'Controlo de Propinas'!K184)</f>
        <v/>
      </c>
      <c r="G184" s="64">
        <f t="shared" si="4"/>
        <v>250000</v>
      </c>
      <c r="H184" s="63"/>
      <c r="I184" s="63"/>
      <c r="J184" s="63"/>
      <c r="K184" s="63"/>
      <c r="L184" s="63"/>
    </row>
    <row r="185" spans="1:12" ht="15" customHeight="1" x14ac:dyDescent="0.25">
      <c r="A185" s="185" t="str">
        <f>IF('Controlo de Propinas'!A185="","",'Controlo de Propinas'!A185)</f>
        <v/>
      </c>
      <c r="B185" s="185" t="str">
        <f>IF('Controlo de Propinas'!B185="","",'Controlo de Propinas'!B185)</f>
        <v/>
      </c>
      <c r="C185" s="185" t="str">
        <f>IF('Controlo de Propinas'!C185="","",'Controlo de Propinas'!C185)</f>
        <v>CM2</v>
      </c>
      <c r="D185" s="63"/>
      <c r="E185" s="63"/>
      <c r="F185" s="185" t="str">
        <f>IF('Controlo de Propinas'!K185="","",'Controlo de Propinas'!K185)</f>
        <v/>
      </c>
      <c r="G185" s="64">
        <f t="shared" si="4"/>
        <v>250000</v>
      </c>
      <c r="H185" s="63"/>
      <c r="I185" s="63"/>
      <c r="J185" s="63"/>
      <c r="K185" s="63"/>
      <c r="L185" s="63"/>
    </row>
    <row r="186" spans="1:12" ht="15" customHeight="1" x14ac:dyDescent="0.25">
      <c r="A186" s="185" t="str">
        <f>IF('Controlo de Propinas'!A186="","",'Controlo de Propinas'!A186)</f>
        <v/>
      </c>
      <c r="B186" s="185" t="str">
        <f>IF('Controlo de Propinas'!B186="","",'Controlo de Propinas'!B186)</f>
        <v/>
      </c>
      <c r="C186" s="185" t="str">
        <f>IF('Controlo de Propinas'!C186="","",'Controlo de Propinas'!C186)</f>
        <v>CM2</v>
      </c>
      <c r="D186" s="63"/>
      <c r="E186" s="63"/>
      <c r="F186" s="185" t="str">
        <f>IF('Controlo de Propinas'!K186="","",'Controlo de Propinas'!K186)</f>
        <v/>
      </c>
      <c r="G186" s="64">
        <f t="shared" si="4"/>
        <v>250000</v>
      </c>
      <c r="H186" s="63"/>
      <c r="I186" s="63"/>
      <c r="J186" s="63"/>
      <c r="K186" s="63"/>
      <c r="L186" s="63"/>
    </row>
    <row r="187" spans="1:12" ht="15" customHeight="1" x14ac:dyDescent="0.25">
      <c r="A187" s="185" t="str">
        <f>IF('Controlo de Propinas'!A187="","",'Controlo de Propinas'!A187)</f>
        <v/>
      </c>
      <c r="B187" s="185" t="str">
        <f>IF('Controlo de Propinas'!B187="","",'Controlo de Propinas'!B187)</f>
        <v/>
      </c>
      <c r="C187" s="185" t="str">
        <f>IF('Controlo de Propinas'!C187="","",'Controlo de Propinas'!C187)</f>
        <v>CM2</v>
      </c>
      <c r="D187" s="63"/>
      <c r="E187" s="63"/>
      <c r="F187" s="185" t="str">
        <f>IF('Controlo de Propinas'!K187="","",'Controlo de Propinas'!K187)</f>
        <v/>
      </c>
      <c r="G187" s="64">
        <f t="shared" si="4"/>
        <v>250000</v>
      </c>
      <c r="H187" s="63"/>
      <c r="I187" s="63"/>
      <c r="J187" s="63"/>
      <c r="K187" s="63"/>
      <c r="L187" s="63"/>
    </row>
    <row r="188" spans="1:12" ht="15" customHeight="1" x14ac:dyDescent="0.25">
      <c r="A188" s="35" t="s">
        <v>98</v>
      </c>
      <c r="B188" s="35" t="str">
        <f>COUNTIF(B110:B169,"?*")&amp;" alunos"</f>
        <v>7 alunos</v>
      </c>
      <c r="C188" s="36"/>
      <c r="D188" s="36"/>
      <c r="E188" s="36"/>
      <c r="F188" s="36"/>
      <c r="G188" s="36"/>
      <c r="H188" s="36"/>
      <c r="I188" s="36"/>
      <c r="J188" s="36"/>
      <c r="K188" s="36"/>
      <c r="L188" s="36"/>
    </row>
    <row r="189" spans="1:12" ht="15" customHeight="1" x14ac:dyDescent="0.25"/>
    <row r="190" spans="1:12" ht="15" customHeight="1" x14ac:dyDescent="0.25">
      <c r="A190" s="257" t="s">
        <v>112</v>
      </c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</row>
    <row r="191" spans="1:12" ht="15" customHeight="1" x14ac:dyDescent="0.25">
      <c r="A191" s="65" t="s">
        <v>64</v>
      </c>
      <c r="B191" s="65" t="s">
        <v>65</v>
      </c>
      <c r="C191" s="65" t="s">
        <v>66</v>
      </c>
      <c r="D191" s="65" t="s">
        <v>147</v>
      </c>
      <c r="E191" s="65" t="s">
        <v>148</v>
      </c>
      <c r="F191" s="65" t="s">
        <v>149</v>
      </c>
      <c r="G191" s="65" t="s">
        <v>150</v>
      </c>
      <c r="H191" s="65" t="s">
        <v>151</v>
      </c>
      <c r="I191" s="65" t="s">
        <v>152</v>
      </c>
      <c r="J191" s="65" t="s">
        <v>153</v>
      </c>
      <c r="K191" s="65" t="s">
        <v>154</v>
      </c>
      <c r="L191" s="65" t="s">
        <v>155</v>
      </c>
    </row>
    <row r="192" spans="1:12" ht="15" customHeight="1" x14ac:dyDescent="0.25">
      <c r="A192" s="39" t="str">
        <f>IF('Controlo de Propinas'!A192="","",'Controlo de Propinas'!A192)</f>
        <v>6E-01</v>
      </c>
      <c r="B192" s="39" t="str">
        <f>IF('Controlo de Propinas'!B192="","",'Controlo de Propinas'!B192)</f>
        <v>Imayami Suriel António Cristovão De Sousa</v>
      </c>
      <c r="C192" s="39" t="str">
        <f>IF('Controlo de Propinas'!C192="","",'Controlo de Propinas'!C192)</f>
        <v>6eme</v>
      </c>
      <c r="D192" s="58"/>
      <c r="E192" s="58"/>
      <c r="F192" s="58"/>
      <c r="G192" s="58"/>
      <c r="H192" s="58"/>
      <c r="I192" s="58"/>
      <c r="J192" s="58"/>
      <c r="K192" s="58"/>
      <c r="L192" s="58"/>
    </row>
    <row r="193" spans="1:12" ht="15" customHeight="1" x14ac:dyDescent="0.25">
      <c r="A193" s="39" t="str">
        <f>IF('Controlo de Propinas'!A193="","",'Controlo de Propinas'!A193)</f>
        <v/>
      </c>
      <c r="B193" s="39" t="str">
        <f>IF('Controlo de Propinas'!B193="","",'Controlo de Propinas'!B193)</f>
        <v/>
      </c>
      <c r="C193" s="39" t="str">
        <f>IF('Controlo de Propinas'!C193="","",'Controlo de Propinas'!C193)</f>
        <v>6eme</v>
      </c>
      <c r="D193" s="58"/>
      <c r="E193" s="58"/>
      <c r="F193" s="58"/>
      <c r="G193" s="58"/>
      <c r="H193" s="58"/>
      <c r="I193" s="58"/>
      <c r="J193" s="58"/>
      <c r="K193" s="58"/>
      <c r="L193" s="58"/>
    </row>
    <row r="194" spans="1:12" ht="15" customHeight="1" x14ac:dyDescent="0.25">
      <c r="A194" s="39" t="str">
        <f>IF('Controlo de Propinas'!A194="","",'Controlo de Propinas'!A194)</f>
        <v/>
      </c>
      <c r="B194" s="39" t="str">
        <f>IF('Controlo de Propinas'!B194="","",'Controlo de Propinas'!B194)</f>
        <v/>
      </c>
      <c r="C194" s="39" t="str">
        <f>IF('Controlo de Propinas'!C194="","",'Controlo de Propinas'!C194)</f>
        <v>6eme</v>
      </c>
      <c r="D194" s="58"/>
      <c r="E194" s="58"/>
      <c r="F194" s="58"/>
      <c r="G194" s="58"/>
      <c r="H194" s="58"/>
      <c r="I194" s="58"/>
      <c r="J194" s="58"/>
      <c r="K194" s="58"/>
      <c r="L194" s="58"/>
    </row>
    <row r="195" spans="1:12" ht="15" customHeight="1" x14ac:dyDescent="0.25">
      <c r="A195" s="39" t="str">
        <f>IF('Controlo de Propinas'!A195="","",'Controlo de Propinas'!A195)</f>
        <v/>
      </c>
      <c r="B195" s="39" t="str">
        <f>IF('Controlo de Propinas'!B195="","",'Controlo de Propinas'!B195)</f>
        <v/>
      </c>
      <c r="C195" s="39" t="str">
        <f>IF('Controlo de Propinas'!C195="","",'Controlo de Propinas'!C195)</f>
        <v>6eme</v>
      </c>
      <c r="D195" s="58"/>
      <c r="E195" s="58"/>
      <c r="F195" s="58"/>
      <c r="G195" s="58"/>
      <c r="H195" s="58"/>
      <c r="I195" s="58"/>
      <c r="J195" s="58"/>
      <c r="K195" s="58"/>
      <c r="L195" s="58"/>
    </row>
    <row r="196" spans="1:12" ht="15" customHeight="1" x14ac:dyDescent="0.25">
      <c r="A196" s="39" t="str">
        <f>IF('Controlo de Propinas'!A196="","",'Controlo de Propinas'!A196)</f>
        <v/>
      </c>
      <c r="B196" s="39" t="str">
        <f>IF('Controlo de Propinas'!B196="","",'Controlo de Propinas'!B196)</f>
        <v/>
      </c>
      <c r="C196" s="39" t="str">
        <f>IF('Controlo de Propinas'!C196="","",'Controlo de Propinas'!C196)</f>
        <v>6eme</v>
      </c>
      <c r="D196" s="58"/>
      <c r="E196" s="58"/>
      <c r="F196" s="58"/>
      <c r="G196" s="58"/>
      <c r="H196" s="58"/>
      <c r="I196" s="58"/>
      <c r="J196" s="58"/>
      <c r="K196" s="58"/>
      <c r="L196" s="58"/>
    </row>
    <row r="197" spans="1:12" ht="15" customHeight="1" x14ac:dyDescent="0.25">
      <c r="A197" s="39" t="str">
        <f>IF('Controlo de Propinas'!A197="","",'Controlo de Propinas'!A197)</f>
        <v/>
      </c>
      <c r="B197" s="39" t="str">
        <f>IF('Controlo de Propinas'!B197="","",'Controlo de Propinas'!B197)</f>
        <v/>
      </c>
      <c r="C197" s="39" t="str">
        <f>IF('Controlo de Propinas'!C197="","",'Controlo de Propinas'!C197)</f>
        <v>6eme</v>
      </c>
      <c r="D197" s="58"/>
      <c r="E197" s="58"/>
      <c r="F197" s="58"/>
      <c r="G197" s="58"/>
      <c r="H197" s="58"/>
      <c r="I197" s="58"/>
      <c r="J197" s="58"/>
      <c r="K197" s="58"/>
      <c r="L197" s="58"/>
    </row>
    <row r="198" spans="1:12" ht="15" customHeight="1" x14ac:dyDescent="0.25">
      <c r="A198" s="39" t="str">
        <f>IF('Controlo de Propinas'!A198="","",'Controlo de Propinas'!A198)</f>
        <v/>
      </c>
      <c r="B198" s="39" t="str">
        <f>IF('Controlo de Propinas'!B198="","",'Controlo de Propinas'!B198)</f>
        <v/>
      </c>
      <c r="C198" s="39" t="str">
        <f>IF('Controlo de Propinas'!C198="","",'Controlo de Propinas'!C198)</f>
        <v>6eme</v>
      </c>
      <c r="D198" s="58"/>
      <c r="E198" s="58"/>
      <c r="F198" s="58"/>
      <c r="G198" s="58"/>
      <c r="H198" s="58"/>
      <c r="I198" s="58"/>
      <c r="J198" s="58"/>
      <c r="K198" s="58"/>
      <c r="L198" s="58"/>
    </row>
    <row r="199" spans="1:12" ht="15" customHeight="1" x14ac:dyDescent="0.25">
      <c r="A199" s="39" t="str">
        <f>IF('Controlo de Propinas'!A199="","",'Controlo de Propinas'!A199)</f>
        <v/>
      </c>
      <c r="B199" s="39" t="str">
        <f>IF('Controlo de Propinas'!B199="","",'Controlo de Propinas'!B199)</f>
        <v/>
      </c>
      <c r="C199" s="39" t="str">
        <f>IF('Controlo de Propinas'!C199="","",'Controlo de Propinas'!C199)</f>
        <v>6eme</v>
      </c>
      <c r="D199" s="58"/>
      <c r="E199" s="58"/>
      <c r="F199" s="58"/>
      <c r="G199" s="58"/>
      <c r="H199" s="58"/>
      <c r="I199" s="58"/>
      <c r="J199" s="58"/>
      <c r="K199" s="58"/>
      <c r="L199" s="58"/>
    </row>
    <row r="200" spans="1:12" ht="15" customHeight="1" x14ac:dyDescent="0.25">
      <c r="A200" s="39" t="str">
        <f>IF('Controlo de Propinas'!A200="","",'Controlo de Propinas'!A200)</f>
        <v/>
      </c>
      <c r="B200" s="39" t="str">
        <f>IF('Controlo de Propinas'!B200="","",'Controlo de Propinas'!B200)</f>
        <v/>
      </c>
      <c r="C200" s="39" t="str">
        <f>IF('Controlo de Propinas'!C200="","",'Controlo de Propinas'!C200)</f>
        <v>6eme</v>
      </c>
      <c r="D200" s="58"/>
      <c r="E200" s="58"/>
      <c r="F200" s="58"/>
      <c r="G200" s="58"/>
      <c r="H200" s="58"/>
      <c r="I200" s="58"/>
      <c r="J200" s="58"/>
      <c r="K200" s="58"/>
      <c r="L200" s="58"/>
    </row>
    <row r="201" spans="1:12" ht="15" customHeight="1" x14ac:dyDescent="0.25">
      <c r="A201" s="39" t="str">
        <f>IF('Controlo de Propinas'!A201="","",'Controlo de Propinas'!A201)</f>
        <v/>
      </c>
      <c r="B201" s="39" t="str">
        <f>IF('Controlo de Propinas'!B201="","",'Controlo de Propinas'!B201)</f>
        <v/>
      </c>
      <c r="C201" s="39" t="str">
        <f>IF('Controlo de Propinas'!C201="","",'Controlo de Propinas'!C201)</f>
        <v>6eme</v>
      </c>
      <c r="D201" s="58"/>
      <c r="E201" s="58"/>
      <c r="F201" s="58"/>
      <c r="G201" s="58"/>
      <c r="H201" s="58"/>
      <c r="I201" s="58"/>
      <c r="J201" s="58"/>
      <c r="K201" s="58"/>
      <c r="L201" s="58"/>
    </row>
    <row r="202" spans="1:12" ht="15" customHeight="1" x14ac:dyDescent="0.25">
      <c r="A202" s="39" t="str">
        <f>IF('Controlo de Propinas'!A202="","",'Controlo de Propinas'!A202)</f>
        <v/>
      </c>
      <c r="B202" s="39" t="str">
        <f>IF('Controlo de Propinas'!B202="","",'Controlo de Propinas'!B202)</f>
        <v/>
      </c>
      <c r="C202" s="39" t="str">
        <f>IF('Controlo de Propinas'!C202="","",'Controlo de Propinas'!C202)</f>
        <v>6eme</v>
      </c>
      <c r="D202" s="58"/>
      <c r="E202" s="58"/>
      <c r="F202" s="58"/>
      <c r="G202" s="58"/>
      <c r="H202" s="58"/>
      <c r="I202" s="58"/>
      <c r="J202" s="58"/>
      <c r="K202" s="58"/>
      <c r="L202" s="58"/>
    </row>
    <row r="203" spans="1:12" ht="15" customHeight="1" x14ac:dyDescent="0.25">
      <c r="A203" s="39" t="str">
        <f>IF('Controlo de Propinas'!A203="","",'Controlo de Propinas'!A203)</f>
        <v/>
      </c>
      <c r="B203" s="39" t="str">
        <f>IF('Controlo de Propinas'!B203="","",'Controlo de Propinas'!B203)</f>
        <v/>
      </c>
      <c r="C203" s="39" t="str">
        <f>IF('Controlo de Propinas'!C203="","",'Controlo de Propinas'!C203)</f>
        <v>6eme</v>
      </c>
      <c r="D203" s="58"/>
      <c r="E203" s="58"/>
      <c r="F203" s="58"/>
      <c r="G203" s="58"/>
      <c r="H203" s="58"/>
      <c r="I203" s="58"/>
      <c r="J203" s="58"/>
      <c r="K203" s="58"/>
      <c r="L203" s="58"/>
    </row>
    <row r="204" spans="1:12" ht="15" customHeight="1" x14ac:dyDescent="0.25">
      <c r="A204" s="39" t="str">
        <f>IF('Controlo de Propinas'!A204="","",'Controlo de Propinas'!A204)</f>
        <v/>
      </c>
      <c r="B204" s="39" t="str">
        <f>IF('Controlo de Propinas'!B204="","",'Controlo de Propinas'!B204)</f>
        <v/>
      </c>
      <c r="C204" s="39" t="str">
        <f>IF('Controlo de Propinas'!C204="","",'Controlo de Propinas'!C204)</f>
        <v>6eme</v>
      </c>
      <c r="D204" s="58"/>
      <c r="E204" s="58"/>
      <c r="F204" s="58"/>
      <c r="G204" s="58"/>
      <c r="H204" s="58"/>
      <c r="I204" s="58"/>
      <c r="J204" s="58"/>
      <c r="K204" s="58"/>
      <c r="L204" s="58"/>
    </row>
    <row r="205" spans="1:12" ht="15" customHeight="1" x14ac:dyDescent="0.25">
      <c r="A205" s="39" t="str">
        <f>IF('Controlo de Propinas'!A205="","",'Controlo de Propinas'!A205)</f>
        <v/>
      </c>
      <c r="B205" s="39" t="str">
        <f>IF('Controlo de Propinas'!B205="","",'Controlo de Propinas'!B205)</f>
        <v/>
      </c>
      <c r="C205" s="39" t="str">
        <f>IF('Controlo de Propinas'!C205="","",'Controlo de Propinas'!C205)</f>
        <v>6eme</v>
      </c>
      <c r="D205" s="58"/>
      <c r="E205" s="58"/>
      <c r="F205" s="58"/>
      <c r="G205" s="58"/>
      <c r="H205" s="58"/>
      <c r="I205" s="58"/>
      <c r="J205" s="58"/>
      <c r="K205" s="58"/>
      <c r="L205" s="58"/>
    </row>
    <row r="206" spans="1:12" ht="15" customHeight="1" x14ac:dyDescent="0.25">
      <c r="A206" s="43" t="s">
        <v>98</v>
      </c>
      <c r="B206" s="43" t="str">
        <f>COUNTIF(B192:B205,"?*")&amp;" alunos"</f>
        <v>1 alunos</v>
      </c>
      <c r="C206" s="36"/>
      <c r="D206" s="36"/>
      <c r="E206" s="36"/>
      <c r="F206" s="36"/>
      <c r="G206" s="36"/>
      <c r="H206" s="36"/>
      <c r="I206" s="36"/>
      <c r="J206" s="36"/>
      <c r="K206" s="36"/>
      <c r="L206" s="36"/>
    </row>
    <row r="207" spans="1:12" ht="15" customHeight="1" x14ac:dyDescent="0.25"/>
    <row r="208" spans="1:12" ht="15" customHeight="1" x14ac:dyDescent="0.25">
      <c r="A208" s="47" t="s">
        <v>115</v>
      </c>
    </row>
    <row r="209" spans="1:12" ht="15" customHeight="1" x14ac:dyDescent="0.25">
      <c r="A209" s="62" t="s">
        <v>64</v>
      </c>
      <c r="B209" s="62" t="s">
        <v>65</v>
      </c>
      <c r="C209" s="62" t="s">
        <v>66</v>
      </c>
      <c r="D209" s="62" t="s">
        <v>147</v>
      </c>
      <c r="E209" s="62" t="s">
        <v>148</v>
      </c>
      <c r="F209" s="62" t="s">
        <v>149</v>
      </c>
      <c r="G209" s="62" t="s">
        <v>150</v>
      </c>
      <c r="H209" s="62" t="s">
        <v>151</v>
      </c>
      <c r="I209" s="62" t="s">
        <v>152</v>
      </c>
      <c r="J209" s="62" t="s">
        <v>153</v>
      </c>
      <c r="K209" s="62" t="s">
        <v>154</v>
      </c>
      <c r="L209" s="62" t="s">
        <v>155</v>
      </c>
    </row>
    <row r="210" spans="1:12" ht="15" customHeight="1" x14ac:dyDescent="0.25">
      <c r="A210" s="185" t="str">
        <f>IF('Controlo de Propinas'!A210="","",'Controlo de Propinas'!A210)</f>
        <v>4E-01</v>
      </c>
      <c r="B210" s="185" t="str">
        <f>IF('Controlo de Propinas'!B210="","",'Controlo de Propinas'!B210)</f>
        <v>Nathaniel Dialude Calei da Costa</v>
      </c>
      <c r="C210" s="185" t="str">
        <f>IF('Controlo de Propinas'!C210="","",'Controlo de Propinas'!C210)</f>
        <v>4eme</v>
      </c>
      <c r="D210" s="63"/>
      <c r="E210" s="63"/>
      <c r="F210" s="195">
        <f>IF('Controlo de Propinas'!K210="","",'Controlo de Propinas'!K210)</f>
        <v>46229</v>
      </c>
      <c r="G210" s="64">
        <f t="shared" ref="G210:G215" si="5">IF(C174="","",IF(OR(C174="Maternelle",C174="Maternelle P1",C174="Maternelle P2",C174="Maternelle P3"),170000,IF(C174="CM2",250000,IF(C174="4eme",260000,170000))))</f>
        <v>250000</v>
      </c>
      <c r="H210" s="63"/>
      <c r="I210" s="63"/>
      <c r="J210" s="63"/>
      <c r="K210" s="63"/>
      <c r="L210" s="63"/>
    </row>
    <row r="211" spans="1:12" ht="15" customHeight="1" x14ac:dyDescent="0.25">
      <c r="A211" s="185" t="str">
        <f>IF('Controlo de Propinas'!A211="","",'Controlo de Propinas'!A211)</f>
        <v/>
      </c>
      <c r="B211" s="185" t="str">
        <f>IF('Controlo de Propinas'!B211="","",'Controlo de Propinas'!B211)</f>
        <v/>
      </c>
      <c r="C211" s="185" t="str">
        <f>IF('Controlo de Propinas'!C211="","",'Controlo de Propinas'!C211)</f>
        <v>4eme</v>
      </c>
      <c r="D211" s="63"/>
      <c r="E211" s="63"/>
      <c r="F211" s="185" t="str">
        <f>IF('Controlo de Propinas'!K211="","",'Controlo de Propinas'!K211)</f>
        <v/>
      </c>
      <c r="G211" s="64">
        <f t="shared" si="5"/>
        <v>250000</v>
      </c>
      <c r="H211" s="63"/>
      <c r="I211" s="63"/>
      <c r="J211" s="63"/>
      <c r="K211" s="63"/>
      <c r="L211" s="63"/>
    </row>
    <row r="212" spans="1:12" ht="15" customHeight="1" x14ac:dyDescent="0.25">
      <c r="A212" s="185" t="str">
        <f>IF('Controlo de Propinas'!A212="","",'Controlo de Propinas'!A212)</f>
        <v/>
      </c>
      <c r="B212" s="185" t="str">
        <f>IF('Controlo de Propinas'!B212="","",'Controlo de Propinas'!B212)</f>
        <v/>
      </c>
      <c r="C212" s="185" t="str">
        <f>IF('Controlo de Propinas'!C212="","",'Controlo de Propinas'!C212)</f>
        <v>4eme</v>
      </c>
      <c r="D212" s="63"/>
      <c r="E212" s="63"/>
      <c r="F212" s="185" t="str">
        <f>IF('Controlo de Propinas'!K212="","",'Controlo de Propinas'!K212)</f>
        <v/>
      </c>
      <c r="G212" s="64">
        <f t="shared" si="5"/>
        <v>250000</v>
      </c>
      <c r="H212" s="63"/>
      <c r="I212" s="63"/>
      <c r="J212" s="63"/>
      <c r="K212" s="63"/>
      <c r="L212" s="63"/>
    </row>
    <row r="213" spans="1:12" ht="15" customHeight="1" x14ac:dyDescent="0.25">
      <c r="A213" s="185" t="str">
        <f>IF('Controlo de Propinas'!A213="","",'Controlo de Propinas'!A213)</f>
        <v/>
      </c>
      <c r="B213" s="185" t="str">
        <f>IF('Controlo de Propinas'!B213="","",'Controlo de Propinas'!B213)</f>
        <v/>
      </c>
      <c r="C213" s="185" t="str">
        <f>IF('Controlo de Propinas'!C213="","",'Controlo de Propinas'!C213)</f>
        <v>4eme</v>
      </c>
      <c r="D213" s="63"/>
      <c r="E213" s="63"/>
      <c r="F213" s="185" t="str">
        <f>IF('Controlo de Propinas'!K213="","",'Controlo de Propinas'!K213)</f>
        <v/>
      </c>
      <c r="G213" s="64">
        <f t="shared" si="5"/>
        <v>250000</v>
      </c>
      <c r="H213" s="63"/>
      <c r="I213" s="63"/>
      <c r="J213" s="63"/>
      <c r="K213" s="63"/>
      <c r="L213" s="63"/>
    </row>
    <row r="214" spans="1:12" ht="15" customHeight="1" x14ac:dyDescent="0.25">
      <c r="A214" s="185" t="str">
        <f>IF('Controlo de Propinas'!A214="","",'Controlo de Propinas'!A214)</f>
        <v/>
      </c>
      <c r="B214" s="185" t="str">
        <f>IF('Controlo de Propinas'!B214="","",'Controlo de Propinas'!B214)</f>
        <v/>
      </c>
      <c r="C214" s="185" t="str">
        <f>IF('Controlo de Propinas'!C214="","",'Controlo de Propinas'!C214)</f>
        <v>4eme</v>
      </c>
      <c r="D214" s="63"/>
      <c r="E214" s="63"/>
      <c r="F214" s="185" t="str">
        <f>IF('Controlo de Propinas'!K214="","",'Controlo de Propinas'!K214)</f>
        <v/>
      </c>
      <c r="G214" s="64">
        <f t="shared" si="5"/>
        <v>250000</v>
      </c>
      <c r="H214" s="63"/>
      <c r="I214" s="63"/>
      <c r="J214" s="63"/>
      <c r="K214" s="63"/>
      <c r="L214" s="63"/>
    </row>
    <row r="215" spans="1:12" x14ac:dyDescent="0.25">
      <c r="A215" s="185" t="str">
        <f>IF('Controlo de Propinas'!A215="","",'Controlo de Propinas'!A215)</f>
        <v/>
      </c>
      <c r="B215" s="185" t="str">
        <f>IF('Controlo de Propinas'!B215="","",'Controlo de Propinas'!B215)</f>
        <v/>
      </c>
      <c r="C215" s="185" t="str">
        <f>IF('Controlo de Propinas'!C215="","",'Controlo de Propinas'!C215)</f>
        <v>4eme</v>
      </c>
      <c r="D215" s="63"/>
      <c r="E215" s="63"/>
      <c r="F215" s="185" t="str">
        <f>IF('Controlo de Propinas'!K215="","",'Controlo de Propinas'!K215)</f>
        <v/>
      </c>
      <c r="G215" s="64">
        <f t="shared" si="5"/>
        <v>250000</v>
      </c>
      <c r="H215" s="63"/>
      <c r="I215" s="63"/>
      <c r="J215" s="63"/>
      <c r="K215" s="63"/>
      <c r="L215" s="63"/>
    </row>
    <row r="216" spans="1:12" ht="15" customHeight="1" x14ac:dyDescent="0.25">
      <c r="A216" s="258" t="e">
        <f>IF('Controlo de Propinas'!#REF!="","",'Controlo de Propinas'!#REF!)</f>
        <v>#REF!</v>
      </c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5"/>
    </row>
    <row r="217" spans="1:12" ht="25.5" customHeight="1" x14ac:dyDescent="0.25">
      <c r="A217" s="185" t="str">
        <f>IF('Controlo de Propinas'!A216="","",'Controlo de Propinas'!A216)</f>
        <v/>
      </c>
      <c r="B217" s="185" t="str">
        <f>IF('Controlo de Propinas'!B216="","",'Controlo de Propinas'!B216)</f>
        <v/>
      </c>
      <c r="C217" s="185" t="str">
        <f>IF('Controlo de Propinas'!C216="","",'Controlo de Propinas'!C216)</f>
        <v>4eme</v>
      </c>
      <c r="D217" s="63"/>
      <c r="E217" s="63"/>
      <c r="F217" s="185" t="str">
        <f>IF('Controlo de Propinas'!K216="","",'Controlo de Propinas'!K216)</f>
        <v/>
      </c>
      <c r="G217" s="64">
        <f t="shared" ref="G217:G249" si="6">IF(C181="","",IF(OR(C181="Maternelle",C181="Maternelle P1",C181="Maternelle P2",C181="Maternelle P3"),170000,IF(C181="CM2",250000,IF(C181="4eme",260000,170000))))</f>
        <v>250000</v>
      </c>
      <c r="H217" s="63"/>
      <c r="I217" s="63"/>
      <c r="J217" s="63"/>
      <c r="K217" s="63"/>
      <c r="L217" s="63"/>
    </row>
    <row r="218" spans="1:12" ht="15" customHeight="1" x14ac:dyDescent="0.25">
      <c r="A218" s="185" t="str">
        <f>IF('Controlo de Propinas'!A217="","",'Controlo de Propinas'!A217)</f>
        <v/>
      </c>
      <c r="B218" s="185" t="str">
        <f>IF('Controlo de Propinas'!B217="","",'Controlo de Propinas'!B217)</f>
        <v/>
      </c>
      <c r="C218" s="185" t="str">
        <f>IF('Controlo de Propinas'!C217="","",'Controlo de Propinas'!C217)</f>
        <v>4eme</v>
      </c>
      <c r="D218" s="63"/>
      <c r="E218" s="63"/>
      <c r="F218" s="185" t="str">
        <f>IF('Controlo de Propinas'!K217="","",'Controlo de Propinas'!K217)</f>
        <v/>
      </c>
      <c r="G218" s="64">
        <f t="shared" si="6"/>
        <v>250000</v>
      </c>
      <c r="H218" s="63"/>
      <c r="I218" s="63"/>
      <c r="J218" s="63"/>
      <c r="K218" s="63"/>
      <c r="L218" s="63"/>
    </row>
    <row r="219" spans="1:12" ht="15" customHeight="1" x14ac:dyDescent="0.25">
      <c r="A219" s="185" t="str">
        <f>IF('Controlo de Propinas'!A218="","",'Controlo de Propinas'!A218)</f>
        <v/>
      </c>
      <c r="B219" s="185" t="str">
        <f>IF('Controlo de Propinas'!B218="","",'Controlo de Propinas'!B218)</f>
        <v/>
      </c>
      <c r="C219" s="185" t="str">
        <f>IF('Controlo de Propinas'!C218="","",'Controlo de Propinas'!C218)</f>
        <v>4eme</v>
      </c>
      <c r="D219" s="63"/>
      <c r="E219" s="63"/>
      <c r="F219" s="185" t="str">
        <f>IF('Controlo de Propinas'!K218="","",'Controlo de Propinas'!K218)</f>
        <v/>
      </c>
      <c r="G219" s="64">
        <f t="shared" si="6"/>
        <v>250000</v>
      </c>
      <c r="H219" s="63"/>
      <c r="I219" s="63"/>
      <c r="J219" s="63"/>
      <c r="K219" s="63"/>
      <c r="L219" s="63"/>
    </row>
    <row r="220" spans="1:12" ht="15" customHeight="1" x14ac:dyDescent="0.25">
      <c r="A220" s="185" t="str">
        <f>IF('Controlo de Propinas'!A219="","",'Controlo de Propinas'!A219)</f>
        <v/>
      </c>
      <c r="B220" s="185" t="str">
        <f>IF('Controlo de Propinas'!B219="","",'Controlo de Propinas'!B219)</f>
        <v/>
      </c>
      <c r="C220" s="185" t="str">
        <f>IF('Controlo de Propinas'!C219="","",'Controlo de Propinas'!C219)</f>
        <v>4eme</v>
      </c>
      <c r="D220" s="63"/>
      <c r="E220" s="63"/>
      <c r="F220" s="185" t="str">
        <f>IF('Controlo de Propinas'!K219="","",'Controlo de Propinas'!K219)</f>
        <v/>
      </c>
      <c r="G220" s="64">
        <f t="shared" si="6"/>
        <v>250000</v>
      </c>
      <c r="H220" s="63"/>
      <c r="I220" s="63"/>
      <c r="J220" s="63"/>
      <c r="K220" s="63"/>
      <c r="L220" s="63"/>
    </row>
    <row r="221" spans="1:12" ht="15" customHeight="1" x14ac:dyDescent="0.25">
      <c r="A221" s="185" t="str">
        <f>IF('Controlo de Propinas'!A220="","",'Controlo de Propinas'!A220)</f>
        <v/>
      </c>
      <c r="B221" s="185" t="str">
        <f>IF('Controlo de Propinas'!B220="","",'Controlo de Propinas'!B220)</f>
        <v/>
      </c>
      <c r="C221" s="185" t="str">
        <f>IF('Controlo de Propinas'!C220="","",'Controlo de Propinas'!C220)</f>
        <v>4eme</v>
      </c>
      <c r="D221" s="63"/>
      <c r="E221" s="63"/>
      <c r="F221" s="185" t="str">
        <f>IF('Controlo de Propinas'!K220="","",'Controlo de Propinas'!K220)</f>
        <v/>
      </c>
      <c r="G221" s="64">
        <f t="shared" si="6"/>
        <v>250000</v>
      </c>
      <c r="H221" s="63"/>
      <c r="I221" s="63"/>
      <c r="J221" s="63"/>
      <c r="K221" s="63"/>
      <c r="L221" s="63"/>
    </row>
    <row r="222" spans="1:12" ht="15" customHeight="1" x14ac:dyDescent="0.25">
      <c r="A222" s="185" t="str">
        <f>IF('Controlo de Propinas'!A221="","",'Controlo de Propinas'!A221)</f>
        <v/>
      </c>
      <c r="B222" s="185" t="str">
        <f>IF('Controlo de Propinas'!B221="","",'Controlo de Propinas'!B221)</f>
        <v/>
      </c>
      <c r="C222" s="185" t="str">
        <f>IF('Controlo de Propinas'!C221="","",'Controlo de Propinas'!C221)</f>
        <v>4eme</v>
      </c>
      <c r="D222" s="63"/>
      <c r="E222" s="63"/>
      <c r="F222" s="185" t="str">
        <f>IF('Controlo de Propinas'!K221="","",'Controlo de Propinas'!K221)</f>
        <v/>
      </c>
      <c r="G222" s="64">
        <f t="shared" si="6"/>
        <v>250000</v>
      </c>
      <c r="H222" s="63"/>
      <c r="I222" s="63"/>
      <c r="J222" s="63"/>
      <c r="K222" s="63"/>
      <c r="L222" s="63"/>
    </row>
    <row r="223" spans="1:12" ht="15" customHeight="1" x14ac:dyDescent="0.25">
      <c r="A223" s="185" t="str">
        <f>IF('Controlo de Propinas'!A222="","",'Controlo de Propinas'!A222)</f>
        <v/>
      </c>
      <c r="B223" s="185" t="str">
        <f>IF('Controlo de Propinas'!B222="","",'Controlo de Propinas'!B222)</f>
        <v/>
      </c>
      <c r="C223" s="185" t="str">
        <f>IF('Controlo de Propinas'!C222="","",'Controlo de Propinas'!C222)</f>
        <v>4eme</v>
      </c>
      <c r="D223" s="63"/>
      <c r="E223" s="63"/>
      <c r="F223" s="185" t="str">
        <f>IF('Controlo de Propinas'!K222="","",'Controlo de Propinas'!K222)</f>
        <v/>
      </c>
      <c r="G223" s="64">
        <f t="shared" si="6"/>
        <v>250000</v>
      </c>
      <c r="H223" s="63"/>
      <c r="I223" s="63"/>
      <c r="J223" s="63"/>
      <c r="K223" s="63"/>
      <c r="L223" s="63"/>
    </row>
    <row r="224" spans="1:12" ht="15" customHeight="1" x14ac:dyDescent="0.25">
      <c r="A224" s="185" t="str">
        <f>IF('Controlo de Propinas'!A223="","",'Controlo de Propinas'!A223)</f>
        <v/>
      </c>
      <c r="B224" s="185" t="str">
        <f>IF('Controlo de Propinas'!B223="","",'Controlo de Propinas'!B223)</f>
        <v/>
      </c>
      <c r="C224" s="185" t="str">
        <f>IF('Controlo de Propinas'!C223="","",'Controlo de Propinas'!C223)</f>
        <v>4eme</v>
      </c>
      <c r="D224" s="63"/>
      <c r="E224" s="63"/>
      <c r="F224" s="185" t="str">
        <f>IF('Controlo de Propinas'!K223="","",'Controlo de Propinas'!K223)</f>
        <v/>
      </c>
      <c r="G224" s="64" t="str">
        <f t="shared" si="6"/>
        <v/>
      </c>
      <c r="H224" s="63"/>
      <c r="I224" s="63"/>
      <c r="J224" s="63"/>
      <c r="K224" s="63"/>
      <c r="L224" s="63"/>
    </row>
    <row r="225" spans="1:12" ht="15" customHeight="1" x14ac:dyDescent="0.25">
      <c r="A225" s="185" t="str">
        <f>IF('Controlo de Propinas'!A224="","",'Controlo de Propinas'!A224)</f>
        <v/>
      </c>
      <c r="B225" s="185" t="str">
        <f>IF('Controlo de Propinas'!B224="","",'Controlo de Propinas'!B224)</f>
        <v/>
      </c>
      <c r="C225" s="185" t="str">
        <f>IF('Controlo de Propinas'!C224="","",'Controlo de Propinas'!C224)</f>
        <v>4eme</v>
      </c>
      <c r="D225" s="63"/>
      <c r="E225" s="63"/>
      <c r="F225" s="185" t="str">
        <f>IF('Controlo de Propinas'!K224="","",'Controlo de Propinas'!K224)</f>
        <v/>
      </c>
      <c r="G225" s="64" t="str">
        <f t="shared" si="6"/>
        <v/>
      </c>
      <c r="H225" s="63"/>
      <c r="I225" s="63"/>
      <c r="J225" s="63"/>
      <c r="K225" s="63"/>
      <c r="L225" s="63"/>
    </row>
    <row r="226" spans="1:12" ht="15" customHeight="1" x14ac:dyDescent="0.25">
      <c r="A226" s="185" t="str">
        <f>IF('Controlo de Propinas'!A225="","",'Controlo de Propinas'!A225)</f>
        <v/>
      </c>
      <c r="B226" s="185" t="str">
        <f>IF('Controlo de Propinas'!B225="","",'Controlo de Propinas'!B225)</f>
        <v/>
      </c>
      <c r="C226" s="185" t="str">
        <f>IF('Controlo de Propinas'!C225="","",'Controlo de Propinas'!C225)</f>
        <v>4eme</v>
      </c>
      <c r="D226" s="63"/>
      <c r="E226" s="63"/>
      <c r="F226" s="185" t="str">
        <f>IF('Controlo de Propinas'!K225="","",'Controlo de Propinas'!K225)</f>
        <v/>
      </c>
      <c r="G226" s="64" t="str">
        <f t="shared" si="6"/>
        <v/>
      </c>
      <c r="H226" s="63"/>
      <c r="I226" s="63"/>
      <c r="J226" s="63"/>
      <c r="K226" s="63"/>
      <c r="L226" s="63"/>
    </row>
    <row r="227" spans="1:12" ht="15" customHeight="1" x14ac:dyDescent="0.25">
      <c r="A227" s="185" t="str">
        <f>IF('Controlo de Propinas'!A226="","",'Controlo de Propinas'!A226)</f>
        <v/>
      </c>
      <c r="B227" s="185" t="str">
        <f>IF('Controlo de Propinas'!B226="","",'Controlo de Propinas'!B226)</f>
        <v/>
      </c>
      <c r="C227" s="185" t="str">
        <f>IF('Controlo de Propinas'!C226="","",'Controlo de Propinas'!C226)</f>
        <v>4eme</v>
      </c>
      <c r="D227" s="63"/>
      <c r="E227" s="63"/>
      <c r="F227" s="185" t="str">
        <f>IF('Controlo de Propinas'!K226="","",'Controlo de Propinas'!K226)</f>
        <v/>
      </c>
      <c r="G227" s="64">
        <f t="shared" si="6"/>
        <v>170000</v>
      </c>
      <c r="H227" s="63"/>
      <c r="I227" s="63"/>
      <c r="J227" s="63"/>
      <c r="K227" s="63"/>
      <c r="L227" s="63"/>
    </row>
    <row r="228" spans="1:12" ht="15" customHeight="1" x14ac:dyDescent="0.25">
      <c r="A228" s="185" t="str">
        <f>IF('Controlo de Propinas'!A227="","",'Controlo de Propinas'!A227)</f>
        <v/>
      </c>
      <c r="B228" s="185" t="str">
        <f>IF('Controlo de Propinas'!B227="","",'Controlo de Propinas'!B227)</f>
        <v/>
      </c>
      <c r="C228" s="185" t="str">
        <f>IF('Controlo de Propinas'!C227="","",'Controlo de Propinas'!C227)</f>
        <v>4eme</v>
      </c>
      <c r="D228" s="63"/>
      <c r="E228" s="63"/>
      <c r="F228" s="185" t="str">
        <f>IF('Controlo de Propinas'!K227="","",'Controlo de Propinas'!K227)</f>
        <v/>
      </c>
      <c r="G228" s="64">
        <f t="shared" si="6"/>
        <v>170000</v>
      </c>
      <c r="H228" s="63"/>
      <c r="I228" s="63"/>
      <c r="J228" s="63"/>
      <c r="K228" s="63"/>
      <c r="L228" s="63"/>
    </row>
    <row r="229" spans="1:12" ht="15" customHeight="1" x14ac:dyDescent="0.25">
      <c r="A229" s="185" t="str">
        <f>IF('Controlo de Propinas'!A228="","",'Controlo de Propinas'!A228)</f>
        <v/>
      </c>
      <c r="B229" s="185" t="str">
        <f>IF('Controlo de Propinas'!B228="","",'Controlo de Propinas'!B228)</f>
        <v/>
      </c>
      <c r="C229" s="185" t="str">
        <f>IF('Controlo de Propinas'!C228="","",'Controlo de Propinas'!C228)</f>
        <v>4eme</v>
      </c>
      <c r="D229" s="63"/>
      <c r="E229" s="63"/>
      <c r="F229" s="185" t="str">
        <f>IF('Controlo de Propinas'!K228="","",'Controlo de Propinas'!K228)</f>
        <v/>
      </c>
      <c r="G229" s="64">
        <f t="shared" si="6"/>
        <v>170000</v>
      </c>
      <c r="H229" s="63"/>
      <c r="I229" s="63"/>
      <c r="J229" s="63"/>
      <c r="K229" s="63"/>
      <c r="L229" s="63"/>
    </row>
    <row r="230" spans="1:12" ht="15" customHeight="1" x14ac:dyDescent="0.25">
      <c r="A230" s="185" t="str">
        <f>IF('Controlo de Propinas'!A229="","",'Controlo de Propinas'!A229)</f>
        <v/>
      </c>
      <c r="B230" s="185" t="str">
        <f>IF('Controlo de Propinas'!B229="","",'Controlo de Propinas'!B229)</f>
        <v/>
      </c>
      <c r="C230" s="185" t="str">
        <f>IF('Controlo de Propinas'!C229="","",'Controlo de Propinas'!C229)</f>
        <v>4eme</v>
      </c>
      <c r="D230" s="63"/>
      <c r="E230" s="63"/>
      <c r="F230" s="185" t="str">
        <f>IF('Controlo de Propinas'!K229="","",'Controlo de Propinas'!K229)</f>
        <v/>
      </c>
      <c r="G230" s="64">
        <f t="shared" si="6"/>
        <v>170000</v>
      </c>
      <c r="H230" s="63"/>
      <c r="I230" s="63"/>
      <c r="J230" s="63"/>
      <c r="K230" s="63"/>
      <c r="L230" s="63"/>
    </row>
    <row r="231" spans="1:12" ht="15" customHeight="1" x14ac:dyDescent="0.25">
      <c r="A231" s="185" t="str">
        <f>IF('Controlo de Propinas'!A230="","",'Controlo de Propinas'!A230)</f>
        <v/>
      </c>
      <c r="B231" s="185" t="str">
        <f>IF('Controlo de Propinas'!B230="","",'Controlo de Propinas'!B230)</f>
        <v/>
      </c>
      <c r="C231" s="185" t="str">
        <f>IF('Controlo de Propinas'!C230="","",'Controlo de Propinas'!C230)</f>
        <v>4eme</v>
      </c>
      <c r="D231" s="63"/>
      <c r="E231" s="63"/>
      <c r="F231" s="185" t="str">
        <f>IF('Controlo de Propinas'!K230="","",'Controlo de Propinas'!K230)</f>
        <v/>
      </c>
      <c r="G231" s="64">
        <f t="shared" si="6"/>
        <v>170000</v>
      </c>
      <c r="H231" s="63"/>
      <c r="I231" s="63"/>
      <c r="J231" s="63"/>
      <c r="K231" s="63"/>
      <c r="L231" s="63"/>
    </row>
    <row r="232" spans="1:12" ht="15" customHeight="1" x14ac:dyDescent="0.25">
      <c r="A232" s="185" t="str">
        <f>IF('Controlo de Propinas'!A231="","",'Controlo de Propinas'!A231)</f>
        <v/>
      </c>
      <c r="B232" s="185" t="str">
        <f>IF('Controlo de Propinas'!B231="","",'Controlo de Propinas'!B231)</f>
        <v/>
      </c>
      <c r="C232" s="185" t="str">
        <f>IF('Controlo de Propinas'!C231="","",'Controlo de Propinas'!C231)</f>
        <v>4eme</v>
      </c>
      <c r="D232" s="63"/>
      <c r="E232" s="63"/>
      <c r="F232" s="185" t="str">
        <f>IF('Controlo de Propinas'!K231="","",'Controlo de Propinas'!K231)</f>
        <v/>
      </c>
      <c r="G232" s="64">
        <f t="shared" si="6"/>
        <v>170000</v>
      </c>
      <c r="H232" s="63"/>
      <c r="I232" s="63"/>
      <c r="J232" s="63"/>
      <c r="K232" s="63"/>
      <c r="L232" s="63"/>
    </row>
    <row r="233" spans="1:12" ht="15" customHeight="1" x14ac:dyDescent="0.25">
      <c r="A233" s="185" t="str">
        <f>IF('Controlo de Propinas'!A232="","",'Controlo de Propinas'!A232)</f>
        <v/>
      </c>
      <c r="B233" s="185" t="str">
        <f>IF('Controlo de Propinas'!B232="","",'Controlo de Propinas'!B232)</f>
        <v/>
      </c>
      <c r="C233" s="185" t="str">
        <f>IF('Controlo de Propinas'!C232="","",'Controlo de Propinas'!C232)</f>
        <v>4eme</v>
      </c>
      <c r="D233" s="63"/>
      <c r="E233" s="63"/>
      <c r="F233" s="185" t="str">
        <f>IF('Controlo de Propinas'!K232="","",'Controlo de Propinas'!K232)</f>
        <v/>
      </c>
      <c r="G233" s="64">
        <f t="shared" si="6"/>
        <v>170000</v>
      </c>
      <c r="H233" s="63"/>
      <c r="I233" s="63"/>
      <c r="J233" s="63"/>
      <c r="K233" s="63"/>
      <c r="L233" s="63"/>
    </row>
    <row r="234" spans="1:12" ht="15" customHeight="1" x14ac:dyDescent="0.25">
      <c r="A234" s="185" t="str">
        <f>IF('Controlo de Propinas'!A233="","",'Controlo de Propinas'!A233)</f>
        <v/>
      </c>
      <c r="B234" s="185" t="str">
        <f>IF('Controlo de Propinas'!B233="","",'Controlo de Propinas'!B233)</f>
        <v/>
      </c>
      <c r="C234" s="185" t="str">
        <f>IF('Controlo de Propinas'!C233="","",'Controlo de Propinas'!C233)</f>
        <v>4eme</v>
      </c>
      <c r="D234" s="63"/>
      <c r="E234" s="63"/>
      <c r="F234" s="185" t="str">
        <f>IF('Controlo de Propinas'!K233="","",'Controlo de Propinas'!K233)</f>
        <v/>
      </c>
      <c r="G234" s="64">
        <f t="shared" si="6"/>
        <v>170000</v>
      </c>
      <c r="H234" s="63"/>
      <c r="I234" s="63"/>
      <c r="J234" s="63"/>
      <c r="K234" s="63"/>
      <c r="L234" s="63"/>
    </row>
    <row r="235" spans="1:12" ht="15" customHeight="1" x14ac:dyDescent="0.25">
      <c r="A235" s="185" t="str">
        <f>IF('Controlo de Propinas'!A234="","",'Controlo de Propinas'!A234)</f>
        <v/>
      </c>
      <c r="B235" s="185" t="str">
        <f>IF('Controlo de Propinas'!B234="","",'Controlo de Propinas'!B234)</f>
        <v/>
      </c>
      <c r="C235" s="185" t="str">
        <f>IF('Controlo de Propinas'!C234="","",'Controlo de Propinas'!C234)</f>
        <v>4eme</v>
      </c>
      <c r="D235" s="63"/>
      <c r="E235" s="63"/>
      <c r="F235" s="185" t="str">
        <f>IF('Controlo de Propinas'!K234="","",'Controlo de Propinas'!K234)</f>
        <v/>
      </c>
      <c r="G235" s="64">
        <f t="shared" si="6"/>
        <v>170000</v>
      </c>
      <c r="H235" s="63"/>
      <c r="I235" s="63"/>
      <c r="J235" s="63"/>
      <c r="K235" s="63"/>
      <c r="L235" s="63"/>
    </row>
    <row r="236" spans="1:12" ht="15" customHeight="1" x14ac:dyDescent="0.25">
      <c r="A236" s="185" t="str">
        <f>IF('Controlo de Propinas'!A235="","",'Controlo de Propinas'!A235)</f>
        <v/>
      </c>
      <c r="B236" s="185" t="str">
        <f>IF('Controlo de Propinas'!B235="","",'Controlo de Propinas'!B235)</f>
        <v/>
      </c>
      <c r="C236" s="185" t="str">
        <f>IF('Controlo de Propinas'!C235="","",'Controlo de Propinas'!C235)</f>
        <v>4eme</v>
      </c>
      <c r="D236" s="63"/>
      <c r="E236" s="63"/>
      <c r="F236" s="185" t="str">
        <f>IF('Controlo de Propinas'!K235="","",'Controlo de Propinas'!K235)</f>
        <v/>
      </c>
      <c r="G236" s="64">
        <f t="shared" si="6"/>
        <v>170000</v>
      </c>
      <c r="H236" s="63"/>
      <c r="I236" s="63"/>
      <c r="J236" s="63"/>
      <c r="K236" s="63"/>
      <c r="L236" s="63"/>
    </row>
    <row r="237" spans="1:12" ht="15" customHeight="1" x14ac:dyDescent="0.25">
      <c r="A237" s="185" t="str">
        <f>IF('Controlo de Propinas'!A236="","",'Controlo de Propinas'!A236)</f>
        <v/>
      </c>
      <c r="B237" s="185" t="str">
        <f>IF('Controlo de Propinas'!B236="","",'Controlo de Propinas'!B236)</f>
        <v/>
      </c>
      <c r="C237" s="185" t="str">
        <f>IF('Controlo de Propinas'!C236="","",'Controlo de Propinas'!C236)</f>
        <v>4eme</v>
      </c>
      <c r="D237" s="63"/>
      <c r="E237" s="63"/>
      <c r="F237" s="185" t="str">
        <f>IF('Controlo de Propinas'!K236="","",'Controlo de Propinas'!K236)</f>
        <v/>
      </c>
      <c r="G237" s="64">
        <f t="shared" si="6"/>
        <v>170000</v>
      </c>
      <c r="H237" s="63"/>
      <c r="I237" s="63"/>
      <c r="J237" s="63"/>
      <c r="K237" s="63"/>
      <c r="L237" s="63"/>
    </row>
    <row r="238" spans="1:12" ht="15" customHeight="1" x14ac:dyDescent="0.25">
      <c r="A238" s="185" t="str">
        <f>IF('Controlo de Propinas'!A237="","",'Controlo de Propinas'!A237)</f>
        <v/>
      </c>
      <c r="B238" s="185" t="str">
        <f>IF('Controlo de Propinas'!B237="","",'Controlo de Propinas'!B237)</f>
        <v/>
      </c>
      <c r="C238" s="185" t="str">
        <f>IF('Controlo de Propinas'!C237="","",'Controlo de Propinas'!C237)</f>
        <v>4eme</v>
      </c>
      <c r="D238" s="63"/>
      <c r="E238" s="63"/>
      <c r="F238" s="185" t="str">
        <f>IF('Controlo de Propinas'!K237="","",'Controlo de Propinas'!K237)</f>
        <v/>
      </c>
      <c r="G238" s="64">
        <f t="shared" si="6"/>
        <v>170000</v>
      </c>
      <c r="H238" s="63"/>
      <c r="I238" s="63"/>
      <c r="J238" s="63"/>
      <c r="K238" s="63"/>
      <c r="L238" s="63"/>
    </row>
    <row r="239" spans="1:12" ht="15" customHeight="1" x14ac:dyDescent="0.25">
      <c r="A239" s="185" t="str">
        <f>IF('Controlo de Propinas'!A238="","",'Controlo de Propinas'!A238)</f>
        <v/>
      </c>
      <c r="B239" s="185" t="str">
        <f>IF('Controlo de Propinas'!B238="","",'Controlo de Propinas'!B238)</f>
        <v/>
      </c>
      <c r="C239" s="185" t="str">
        <f>IF('Controlo de Propinas'!C238="","",'Controlo de Propinas'!C238)</f>
        <v>4eme</v>
      </c>
      <c r="D239" s="63"/>
      <c r="E239" s="63"/>
      <c r="F239" s="185" t="str">
        <f>IF('Controlo de Propinas'!K238="","",'Controlo de Propinas'!K238)</f>
        <v/>
      </c>
      <c r="G239" s="64">
        <f t="shared" si="6"/>
        <v>170000</v>
      </c>
      <c r="H239" s="63"/>
      <c r="I239" s="63"/>
      <c r="J239" s="63"/>
      <c r="K239" s="63"/>
      <c r="L239" s="63"/>
    </row>
    <row r="240" spans="1:12" ht="15" customHeight="1" x14ac:dyDescent="0.25">
      <c r="A240" s="185" t="str">
        <f>IF('Controlo de Propinas'!A239="","",'Controlo de Propinas'!A239)</f>
        <v/>
      </c>
      <c r="B240" s="185" t="str">
        <f>IF('Controlo de Propinas'!B239="","",'Controlo de Propinas'!B239)</f>
        <v/>
      </c>
      <c r="C240" s="185" t="str">
        <f>IF('Controlo de Propinas'!C239="","",'Controlo de Propinas'!C239)</f>
        <v>4eme</v>
      </c>
      <c r="D240" s="63"/>
      <c r="E240" s="63"/>
      <c r="F240" s="185" t="str">
        <f>IF('Controlo de Propinas'!K239="","",'Controlo de Propinas'!K239)</f>
        <v/>
      </c>
      <c r="G240" s="64">
        <f t="shared" si="6"/>
        <v>170000</v>
      </c>
      <c r="H240" s="63"/>
      <c r="I240" s="63"/>
      <c r="J240" s="63"/>
      <c r="K240" s="63"/>
      <c r="L240" s="63"/>
    </row>
    <row r="241" spans="1:12" ht="15" customHeight="1" x14ac:dyDescent="0.25">
      <c r="A241" s="185" t="str">
        <f>IF('Controlo de Propinas'!A240="","",'Controlo de Propinas'!A240)</f>
        <v/>
      </c>
      <c r="B241" s="185" t="str">
        <f>IF('Controlo de Propinas'!B240="","",'Controlo de Propinas'!B240)</f>
        <v/>
      </c>
      <c r="C241" s="185" t="str">
        <f>IF('Controlo de Propinas'!C240="","",'Controlo de Propinas'!C240)</f>
        <v>4eme</v>
      </c>
      <c r="D241" s="63"/>
      <c r="E241" s="63"/>
      <c r="F241" s="185" t="str">
        <f>IF('Controlo de Propinas'!K240="","",'Controlo de Propinas'!K240)</f>
        <v/>
      </c>
      <c r="G241" s="64">
        <f t="shared" si="6"/>
        <v>170000</v>
      </c>
      <c r="H241" s="63"/>
      <c r="I241" s="63"/>
      <c r="J241" s="63"/>
      <c r="K241" s="63"/>
      <c r="L241" s="63"/>
    </row>
    <row r="242" spans="1:12" ht="15" customHeight="1" x14ac:dyDescent="0.25">
      <c r="A242" s="185" t="str">
        <f>IF('Controlo de Propinas'!A241="","",'Controlo de Propinas'!A241)</f>
        <v/>
      </c>
      <c r="B242" s="185" t="str">
        <f>IF('Controlo de Propinas'!B241="","",'Controlo de Propinas'!B241)</f>
        <v/>
      </c>
      <c r="C242" s="185" t="str">
        <f>IF('Controlo de Propinas'!C241="","",'Controlo de Propinas'!C241)</f>
        <v>4eme</v>
      </c>
      <c r="D242" s="63"/>
      <c r="E242" s="63"/>
      <c r="F242" s="185" t="str">
        <f>IF('Controlo de Propinas'!K241="","",'Controlo de Propinas'!K241)</f>
        <v/>
      </c>
      <c r="G242" s="64" t="str">
        <f t="shared" si="6"/>
        <v/>
      </c>
      <c r="H242" s="63"/>
      <c r="I242" s="63"/>
      <c r="J242" s="63"/>
      <c r="K242" s="63"/>
      <c r="L242" s="63"/>
    </row>
    <row r="243" spans="1:12" ht="15" customHeight="1" x14ac:dyDescent="0.25">
      <c r="A243" s="185" t="str">
        <f>IF('Controlo de Propinas'!A242="","",'Controlo de Propinas'!A242)</f>
        <v/>
      </c>
      <c r="B243" s="185" t="str">
        <f>IF('Controlo de Propinas'!B242="","",'Controlo de Propinas'!B242)</f>
        <v/>
      </c>
      <c r="C243" s="185" t="str">
        <f>IF('Controlo de Propinas'!C242="","",'Controlo de Propinas'!C242)</f>
        <v>4eme</v>
      </c>
      <c r="D243" s="63"/>
      <c r="E243" s="63"/>
      <c r="F243" s="185" t="str">
        <f>IF('Controlo de Propinas'!K242="","",'Controlo de Propinas'!K242)</f>
        <v/>
      </c>
      <c r="G243" s="64" t="str">
        <f t="shared" si="6"/>
        <v/>
      </c>
      <c r="H243" s="63"/>
      <c r="I243" s="63"/>
      <c r="J243" s="63"/>
      <c r="K243" s="63"/>
      <c r="L243" s="63"/>
    </row>
    <row r="244" spans="1:12" ht="15" customHeight="1" x14ac:dyDescent="0.25">
      <c r="A244" s="185" t="str">
        <f>IF('Controlo de Propinas'!A243="","",'Controlo de Propinas'!A243)</f>
        <v/>
      </c>
      <c r="B244" s="185" t="str">
        <f>IF('Controlo de Propinas'!B243="","",'Controlo de Propinas'!B243)</f>
        <v/>
      </c>
      <c r="C244" s="185" t="str">
        <f>IF('Controlo de Propinas'!C243="","",'Controlo de Propinas'!C243)</f>
        <v>4eme</v>
      </c>
      <c r="D244" s="63"/>
      <c r="E244" s="63"/>
      <c r="F244" s="185" t="str">
        <f>IF('Controlo de Propinas'!K243="","",'Controlo de Propinas'!K243)</f>
        <v/>
      </c>
      <c r="G244" s="64" t="str">
        <f t="shared" si="6"/>
        <v/>
      </c>
      <c r="H244" s="63"/>
      <c r="I244" s="63"/>
      <c r="J244" s="63"/>
      <c r="K244" s="63"/>
      <c r="L244" s="63"/>
    </row>
    <row r="245" spans="1:12" ht="15" customHeight="1" x14ac:dyDescent="0.25">
      <c r="A245" s="185" t="str">
        <f>IF('Controlo de Propinas'!A244="","",'Controlo de Propinas'!A244)</f>
        <v/>
      </c>
      <c r="B245" s="185" t="str">
        <f>IF('Controlo de Propinas'!B244="","",'Controlo de Propinas'!B244)</f>
        <v/>
      </c>
      <c r="C245" s="185" t="str">
        <f>IF('Controlo de Propinas'!C244="","",'Controlo de Propinas'!C244)</f>
        <v>4eme</v>
      </c>
      <c r="D245" s="63"/>
      <c r="E245" s="63"/>
      <c r="F245" s="185" t="str">
        <f>IF('Controlo de Propinas'!K244="","",'Controlo de Propinas'!K244)</f>
        <v/>
      </c>
      <c r="G245" s="64">
        <f t="shared" si="6"/>
        <v>170000</v>
      </c>
      <c r="H245" s="63"/>
      <c r="I245" s="63"/>
      <c r="J245" s="63"/>
      <c r="K245" s="63"/>
      <c r="L245" s="63"/>
    </row>
    <row r="246" spans="1:12" ht="15" customHeight="1" x14ac:dyDescent="0.25">
      <c r="A246" s="185" t="str">
        <f>IF('Controlo de Propinas'!A245="","",'Controlo de Propinas'!A245)</f>
        <v/>
      </c>
      <c r="B246" s="185" t="str">
        <f>IF('Controlo de Propinas'!B245="","",'Controlo de Propinas'!B245)</f>
        <v/>
      </c>
      <c r="C246" s="185" t="str">
        <f>IF('Controlo de Propinas'!C245="","",'Controlo de Propinas'!C245)</f>
        <v>4eme</v>
      </c>
      <c r="D246" s="63"/>
      <c r="E246" s="63"/>
      <c r="F246" s="185" t="str">
        <f>IF('Controlo de Propinas'!K245="","",'Controlo de Propinas'!K245)</f>
        <v/>
      </c>
      <c r="G246" s="64">
        <f t="shared" si="6"/>
        <v>260000</v>
      </c>
      <c r="H246" s="63"/>
      <c r="I246" s="63"/>
      <c r="J246" s="63"/>
      <c r="K246" s="63"/>
      <c r="L246" s="63"/>
    </row>
    <row r="247" spans="1:12" ht="15" customHeight="1" x14ac:dyDescent="0.25">
      <c r="A247" s="185" t="str">
        <f>IF('Controlo de Propinas'!A246="","",'Controlo de Propinas'!A246)</f>
        <v/>
      </c>
      <c r="B247" s="185" t="str">
        <f>IF('Controlo de Propinas'!B246="","",'Controlo de Propinas'!B246)</f>
        <v/>
      </c>
      <c r="C247" s="185" t="str">
        <f>IF('Controlo de Propinas'!C246="","",'Controlo de Propinas'!C246)</f>
        <v>4eme</v>
      </c>
      <c r="D247" s="63"/>
      <c r="E247" s="63"/>
      <c r="F247" s="185" t="str">
        <f>IF('Controlo de Propinas'!K246="","",'Controlo de Propinas'!K246)</f>
        <v/>
      </c>
      <c r="G247" s="64">
        <f t="shared" si="6"/>
        <v>260000</v>
      </c>
      <c r="H247" s="63"/>
      <c r="I247" s="63"/>
      <c r="J247" s="63"/>
      <c r="K247" s="63"/>
      <c r="L247" s="63"/>
    </row>
    <row r="248" spans="1:12" ht="15" customHeight="1" x14ac:dyDescent="0.25">
      <c r="A248" s="185" t="str">
        <f>IF('Controlo de Propinas'!A247="","",'Controlo de Propinas'!A247)</f>
        <v/>
      </c>
      <c r="B248" s="185" t="str">
        <f>IF('Controlo de Propinas'!B247="","",'Controlo de Propinas'!B247)</f>
        <v/>
      </c>
      <c r="C248" s="185" t="str">
        <f>IF('Controlo de Propinas'!C247="","",'Controlo de Propinas'!C247)</f>
        <v>4eme</v>
      </c>
      <c r="D248" s="63"/>
      <c r="E248" s="63"/>
      <c r="F248" s="185" t="str">
        <f>IF('Controlo de Propinas'!K247="","",'Controlo de Propinas'!K247)</f>
        <v/>
      </c>
      <c r="G248" s="64">
        <f t="shared" si="6"/>
        <v>260000</v>
      </c>
      <c r="H248" s="63"/>
      <c r="I248" s="63"/>
      <c r="J248" s="63"/>
      <c r="K248" s="63"/>
      <c r="L248" s="63"/>
    </row>
    <row r="249" spans="1:12" ht="15" customHeight="1" x14ac:dyDescent="0.25">
      <c r="A249" s="185" t="str">
        <f>IF('Controlo de Propinas'!A248="","",'Controlo de Propinas'!A248)</f>
        <v/>
      </c>
      <c r="B249" s="185" t="str">
        <f>IF('Controlo de Propinas'!B248="","",'Controlo de Propinas'!B248)</f>
        <v/>
      </c>
      <c r="C249" s="185" t="str">
        <f>IF('Controlo de Propinas'!C248="","",'Controlo de Propinas'!C248)</f>
        <v>4eme</v>
      </c>
      <c r="D249" s="63"/>
      <c r="E249" s="63"/>
      <c r="F249" s="185" t="str">
        <f>IF('Controlo de Propinas'!K248="","",'Controlo de Propinas'!K248)</f>
        <v/>
      </c>
      <c r="G249" s="64">
        <f t="shared" si="6"/>
        <v>260000</v>
      </c>
      <c r="H249" s="63"/>
      <c r="I249" s="63"/>
      <c r="J249" s="63"/>
      <c r="K249" s="63"/>
      <c r="L249" s="63"/>
    </row>
    <row r="250" spans="1:12" ht="15" customHeight="1" x14ac:dyDescent="0.25">
      <c r="A250" s="35" t="s">
        <v>98</v>
      </c>
      <c r="B250" s="35" t="str">
        <f>COUNTIF(B174:B213,"?*")&amp;" alunos"</f>
        <v>6 alunos</v>
      </c>
      <c r="C250" s="36"/>
      <c r="D250" s="36"/>
      <c r="E250" s="36"/>
      <c r="F250" s="36"/>
      <c r="G250" s="36"/>
      <c r="H250" s="36"/>
      <c r="I250" s="36"/>
      <c r="J250" s="36"/>
      <c r="K250" s="36"/>
      <c r="L250" s="36"/>
    </row>
    <row r="251" spans="1:12" ht="15" customHeight="1" x14ac:dyDescent="0.25"/>
    <row r="252" spans="1:12" ht="15" customHeight="1" x14ac:dyDescent="0.25">
      <c r="A252" s="48" t="s">
        <v>118</v>
      </c>
    </row>
    <row r="253" spans="1:12" ht="15" customHeight="1" x14ac:dyDescent="0.25">
      <c r="A253" s="62" t="s">
        <v>64</v>
      </c>
      <c r="B253" s="62" t="s">
        <v>65</v>
      </c>
      <c r="C253" s="62" t="s">
        <v>66</v>
      </c>
      <c r="D253" s="62" t="s">
        <v>147</v>
      </c>
      <c r="E253" s="62" t="s">
        <v>148</v>
      </c>
      <c r="F253" s="62" t="s">
        <v>149</v>
      </c>
      <c r="G253" s="62" t="s">
        <v>150</v>
      </c>
      <c r="H253" s="62" t="s">
        <v>151</v>
      </c>
      <c r="I253" s="62" t="s">
        <v>152</v>
      </c>
      <c r="J253" s="62" t="s">
        <v>153</v>
      </c>
      <c r="K253" s="62" t="s">
        <v>154</v>
      </c>
      <c r="L253" s="62" t="s">
        <v>155</v>
      </c>
    </row>
    <row r="254" spans="1:12" ht="15" customHeight="1" x14ac:dyDescent="0.25">
      <c r="A254" s="185" t="str">
        <f>IF('Controlo de Propinas'!A253="","",'Controlo de Propinas'!A253)</f>
        <v>3E-01</v>
      </c>
      <c r="B254" s="185" t="str">
        <f>IF('Controlo de Propinas'!B253="","",'Controlo de Propinas'!B253)</f>
        <v>Belangela Nito Daniel Kanvadioko</v>
      </c>
      <c r="C254" s="185" t="str">
        <f>IF('Controlo de Propinas'!C253="","",'Controlo de Propinas'!C253)</f>
        <v>3ème</v>
      </c>
      <c r="D254" s="63"/>
      <c r="E254" s="63"/>
      <c r="F254" s="185" t="str">
        <f>IF('Controlo de Propinas'!K253="","",'Controlo de Propinas'!K253)</f>
        <v/>
      </c>
      <c r="G254" s="64">
        <f t="shared" ref="G254:G293" si="7">IF(C218="","",IF(OR(C218="Maternelle",C218="Maternelle P1",C218="Maternelle P2",C218="Maternelle P3"),170000,IF(C218="CM2",250000,IF(C218="4eme",260000,170000))))</f>
        <v>260000</v>
      </c>
      <c r="H254" s="63"/>
      <c r="I254" s="63"/>
      <c r="J254" s="63"/>
      <c r="K254" s="63"/>
      <c r="L254" s="63"/>
    </row>
    <row r="255" spans="1:12" ht="15" customHeight="1" x14ac:dyDescent="0.25">
      <c r="A255" s="185" t="str">
        <f>IF('Controlo de Propinas'!A254="","",'Controlo de Propinas'!A254)</f>
        <v/>
      </c>
      <c r="B255" s="185" t="str">
        <f>IF('Controlo de Propinas'!B254="","",'Controlo de Propinas'!B254)</f>
        <v/>
      </c>
      <c r="C255" s="185" t="str">
        <f>IF('Controlo de Propinas'!C254="","",'Controlo de Propinas'!C254)</f>
        <v/>
      </c>
      <c r="D255" s="63"/>
      <c r="E255" s="63"/>
      <c r="F255" s="185" t="str">
        <f>IF('Controlo de Propinas'!K254="","",'Controlo de Propinas'!K254)</f>
        <v/>
      </c>
      <c r="G255" s="64">
        <f t="shared" si="7"/>
        <v>260000</v>
      </c>
      <c r="H255" s="63"/>
      <c r="I255" s="63"/>
      <c r="J255" s="63"/>
      <c r="K255" s="63"/>
      <c r="L255" s="63"/>
    </row>
    <row r="256" spans="1:12" ht="15" customHeight="1" x14ac:dyDescent="0.25">
      <c r="A256" s="185" t="str">
        <f>IF('Controlo de Propinas'!A255="","",'Controlo de Propinas'!A255)</f>
        <v/>
      </c>
      <c r="B256" s="185" t="str">
        <f>IF('Controlo de Propinas'!B255="","",'Controlo de Propinas'!B255)</f>
        <v/>
      </c>
      <c r="C256" s="185" t="str">
        <f>IF('Controlo de Propinas'!C255="","",'Controlo de Propinas'!C255)</f>
        <v/>
      </c>
      <c r="D256" s="63"/>
      <c r="E256" s="63"/>
      <c r="F256" s="185" t="str">
        <f>IF('Controlo de Propinas'!K255="","",'Controlo de Propinas'!K255)</f>
        <v/>
      </c>
      <c r="G256" s="64">
        <f t="shared" si="7"/>
        <v>260000</v>
      </c>
      <c r="H256" s="63"/>
      <c r="I256" s="63"/>
      <c r="J256" s="63"/>
      <c r="K256" s="63"/>
      <c r="L256" s="63"/>
    </row>
    <row r="257" spans="1:12" ht="15" customHeight="1" x14ac:dyDescent="0.25">
      <c r="A257" s="185" t="str">
        <f>IF('Controlo de Propinas'!A256="","",'Controlo de Propinas'!A256)</f>
        <v/>
      </c>
      <c r="B257" s="185" t="str">
        <f>IF('Controlo de Propinas'!B256="","",'Controlo de Propinas'!B256)</f>
        <v/>
      </c>
      <c r="C257" s="185" t="str">
        <f>IF('Controlo de Propinas'!C256="","",'Controlo de Propinas'!C256)</f>
        <v/>
      </c>
      <c r="D257" s="63"/>
      <c r="E257" s="63"/>
      <c r="F257" s="185" t="str">
        <f>IF('Controlo de Propinas'!K256="","",'Controlo de Propinas'!K256)</f>
        <v/>
      </c>
      <c r="G257" s="64">
        <f t="shared" si="7"/>
        <v>260000</v>
      </c>
      <c r="H257" s="63"/>
      <c r="I257" s="63"/>
      <c r="J257" s="63"/>
      <c r="K257" s="63"/>
      <c r="L257" s="63"/>
    </row>
    <row r="258" spans="1:12" ht="15" customHeight="1" x14ac:dyDescent="0.25">
      <c r="A258" s="185" t="str">
        <f>IF('Controlo de Propinas'!A257="","",'Controlo de Propinas'!A257)</f>
        <v/>
      </c>
      <c r="B258" s="185" t="str">
        <f>IF('Controlo de Propinas'!B257="","",'Controlo de Propinas'!B257)</f>
        <v/>
      </c>
      <c r="C258" s="185" t="str">
        <f>IF('Controlo de Propinas'!C257="","",'Controlo de Propinas'!C257)</f>
        <v/>
      </c>
      <c r="D258" s="63"/>
      <c r="E258" s="63"/>
      <c r="F258" s="185" t="str">
        <f>IF('Controlo de Propinas'!K257="","",'Controlo de Propinas'!K257)</f>
        <v/>
      </c>
      <c r="G258" s="64">
        <f t="shared" si="7"/>
        <v>260000</v>
      </c>
      <c r="H258" s="63"/>
      <c r="I258" s="63"/>
      <c r="J258" s="63"/>
      <c r="K258" s="63"/>
      <c r="L258" s="63"/>
    </row>
    <row r="259" spans="1:12" x14ac:dyDescent="0.25">
      <c r="A259" s="185" t="str">
        <f>IF('Controlo de Propinas'!A258="","",'Controlo de Propinas'!A258)</f>
        <v/>
      </c>
      <c r="B259" s="185" t="str">
        <f>IF('Controlo de Propinas'!B258="","",'Controlo de Propinas'!B258)</f>
        <v/>
      </c>
      <c r="C259" s="185" t="str">
        <f>IF('Controlo de Propinas'!C258="","",'Controlo de Propinas'!C258)</f>
        <v/>
      </c>
      <c r="D259" s="63"/>
      <c r="E259" s="63"/>
      <c r="F259" s="185" t="str">
        <f>IF('Controlo de Propinas'!K258="","",'Controlo de Propinas'!K258)</f>
        <v/>
      </c>
      <c r="G259" s="64">
        <f t="shared" si="7"/>
        <v>260000</v>
      </c>
      <c r="H259" s="63"/>
      <c r="I259" s="63"/>
      <c r="J259" s="63"/>
      <c r="K259" s="63"/>
      <c r="L259" s="63"/>
    </row>
    <row r="260" spans="1:12" x14ac:dyDescent="0.25">
      <c r="A260" s="185" t="str">
        <f>IF('Controlo de Propinas'!A259="","",'Controlo de Propinas'!A259)</f>
        <v/>
      </c>
      <c r="B260" s="185" t="str">
        <f>IF('Controlo de Propinas'!B259="","",'Controlo de Propinas'!B259)</f>
        <v/>
      </c>
      <c r="C260" s="185" t="str">
        <f>IF('Controlo de Propinas'!C259="","",'Controlo de Propinas'!C259)</f>
        <v/>
      </c>
      <c r="D260" s="63"/>
      <c r="E260" s="63"/>
      <c r="F260" s="185" t="str">
        <f>IF('Controlo de Propinas'!K259="","",'Controlo de Propinas'!K259)</f>
        <v/>
      </c>
      <c r="G260" s="64">
        <f t="shared" si="7"/>
        <v>260000</v>
      </c>
      <c r="H260" s="63"/>
      <c r="I260" s="63"/>
      <c r="J260" s="63"/>
      <c r="K260" s="63"/>
      <c r="L260" s="63"/>
    </row>
    <row r="261" spans="1:12" x14ac:dyDescent="0.25">
      <c r="A261" s="185" t="str">
        <f>IF('Controlo de Propinas'!A260="","",'Controlo de Propinas'!A260)</f>
        <v/>
      </c>
      <c r="B261" s="185" t="str">
        <f>IF('Controlo de Propinas'!B260="","",'Controlo de Propinas'!B260)</f>
        <v/>
      </c>
      <c r="C261" s="185" t="str">
        <f>IF('Controlo de Propinas'!C260="","",'Controlo de Propinas'!C260)</f>
        <v/>
      </c>
      <c r="D261" s="63"/>
      <c r="E261" s="63"/>
      <c r="F261" s="185" t="str">
        <f>IF('Controlo de Propinas'!K260="","",'Controlo de Propinas'!K260)</f>
        <v/>
      </c>
      <c r="G261" s="64">
        <f t="shared" si="7"/>
        <v>260000</v>
      </c>
      <c r="H261" s="63"/>
      <c r="I261" s="63"/>
      <c r="J261" s="63"/>
      <c r="K261" s="63"/>
      <c r="L261" s="63"/>
    </row>
    <row r="262" spans="1:12" x14ac:dyDescent="0.25">
      <c r="A262" s="185" t="str">
        <f>IF('Controlo de Propinas'!A261="","",'Controlo de Propinas'!A261)</f>
        <v/>
      </c>
      <c r="B262" s="185" t="str">
        <f>IF('Controlo de Propinas'!B261="","",'Controlo de Propinas'!B261)</f>
        <v/>
      </c>
      <c r="C262" s="185" t="str">
        <f>IF('Controlo de Propinas'!C261="","",'Controlo de Propinas'!C261)</f>
        <v/>
      </c>
      <c r="D262" s="63"/>
      <c r="E262" s="63"/>
      <c r="F262" s="185" t="str">
        <f>IF('Controlo de Propinas'!K261="","",'Controlo de Propinas'!K261)</f>
        <v/>
      </c>
      <c r="G262" s="64">
        <f t="shared" si="7"/>
        <v>260000</v>
      </c>
      <c r="H262" s="63"/>
      <c r="I262" s="63"/>
      <c r="J262" s="63"/>
      <c r="K262" s="63"/>
      <c r="L262" s="63"/>
    </row>
    <row r="263" spans="1:12" x14ac:dyDescent="0.25">
      <c r="A263" s="185" t="str">
        <f>IF('Controlo de Propinas'!A262="","",'Controlo de Propinas'!A262)</f>
        <v/>
      </c>
      <c r="B263" s="185" t="str">
        <f>IF('Controlo de Propinas'!B262="","",'Controlo de Propinas'!B262)</f>
        <v/>
      </c>
      <c r="C263" s="185" t="str">
        <f>IF('Controlo de Propinas'!C262="","",'Controlo de Propinas'!C262)</f>
        <v/>
      </c>
      <c r="D263" s="63"/>
      <c r="E263" s="63"/>
      <c r="F263" s="185" t="str">
        <f>IF('Controlo de Propinas'!K262="","",'Controlo de Propinas'!K262)</f>
        <v/>
      </c>
      <c r="G263" s="64">
        <f t="shared" si="7"/>
        <v>260000</v>
      </c>
      <c r="H263" s="63"/>
      <c r="I263" s="63"/>
      <c r="J263" s="63"/>
      <c r="K263" s="63"/>
      <c r="L263" s="63"/>
    </row>
    <row r="264" spans="1:12" x14ac:dyDescent="0.25">
      <c r="A264" s="185" t="str">
        <f>IF('Controlo de Propinas'!A263="","",'Controlo de Propinas'!A263)</f>
        <v/>
      </c>
      <c r="B264" s="185" t="str">
        <f>IF('Controlo de Propinas'!B263="","",'Controlo de Propinas'!B263)</f>
        <v/>
      </c>
      <c r="C264" s="185" t="str">
        <f>IF('Controlo de Propinas'!C263="","",'Controlo de Propinas'!C263)</f>
        <v/>
      </c>
      <c r="D264" s="63"/>
      <c r="E264" s="63"/>
      <c r="F264" s="185" t="str">
        <f>IF('Controlo de Propinas'!K263="","",'Controlo de Propinas'!K263)</f>
        <v/>
      </c>
      <c r="G264" s="64">
        <f t="shared" si="7"/>
        <v>260000</v>
      </c>
      <c r="H264" s="63"/>
      <c r="I264" s="63"/>
      <c r="J264" s="63"/>
      <c r="K264" s="63"/>
      <c r="L264" s="63"/>
    </row>
    <row r="265" spans="1:12" x14ac:dyDescent="0.25">
      <c r="A265" s="185" t="str">
        <f>IF('Controlo de Propinas'!A264="","",'Controlo de Propinas'!A264)</f>
        <v/>
      </c>
      <c r="B265" s="185" t="str">
        <f>IF('Controlo de Propinas'!B264="","",'Controlo de Propinas'!B264)</f>
        <v/>
      </c>
      <c r="C265" s="185" t="str">
        <f>IF('Controlo de Propinas'!C264="","",'Controlo de Propinas'!C264)</f>
        <v/>
      </c>
      <c r="D265" s="63"/>
      <c r="E265" s="63"/>
      <c r="F265" s="185" t="str">
        <f>IF('Controlo de Propinas'!K264="","",'Controlo de Propinas'!K264)</f>
        <v/>
      </c>
      <c r="G265" s="64">
        <f t="shared" si="7"/>
        <v>260000</v>
      </c>
      <c r="H265" s="63"/>
      <c r="I265" s="63"/>
      <c r="J265" s="63"/>
      <c r="K265" s="63"/>
      <c r="L265" s="63"/>
    </row>
    <row r="266" spans="1:12" x14ac:dyDescent="0.25">
      <c r="A266" s="185" t="str">
        <f>IF('Controlo de Propinas'!A265="","",'Controlo de Propinas'!A265)</f>
        <v/>
      </c>
      <c r="B266" s="185" t="str">
        <f>IF('Controlo de Propinas'!B265="","",'Controlo de Propinas'!B265)</f>
        <v/>
      </c>
      <c r="C266" s="185" t="str">
        <f>IF('Controlo de Propinas'!C265="","",'Controlo de Propinas'!C265)</f>
        <v/>
      </c>
      <c r="D266" s="63"/>
      <c r="E266" s="63"/>
      <c r="F266" s="185" t="str">
        <f>IF('Controlo de Propinas'!K265="","",'Controlo de Propinas'!K265)</f>
        <v/>
      </c>
      <c r="G266" s="64">
        <f t="shared" si="7"/>
        <v>260000</v>
      </c>
      <c r="H266" s="63"/>
      <c r="I266" s="63"/>
      <c r="J266" s="63"/>
      <c r="K266" s="63"/>
      <c r="L266" s="63"/>
    </row>
    <row r="267" spans="1:12" x14ac:dyDescent="0.25">
      <c r="A267" s="185" t="str">
        <f>IF('Controlo de Propinas'!A266="","",'Controlo de Propinas'!A266)</f>
        <v/>
      </c>
      <c r="B267" s="185" t="str">
        <f>IF('Controlo de Propinas'!B266="","",'Controlo de Propinas'!B266)</f>
        <v/>
      </c>
      <c r="C267" s="185" t="str">
        <f>IF('Controlo de Propinas'!C266="","",'Controlo de Propinas'!C266)</f>
        <v/>
      </c>
      <c r="D267" s="63"/>
      <c r="E267" s="63"/>
      <c r="F267" s="185" t="str">
        <f>IF('Controlo de Propinas'!K266="","",'Controlo de Propinas'!K266)</f>
        <v/>
      </c>
      <c r="G267" s="64">
        <f t="shared" si="7"/>
        <v>260000</v>
      </c>
      <c r="H267" s="63"/>
      <c r="I267" s="63"/>
      <c r="J267" s="63"/>
      <c r="K267" s="63"/>
      <c r="L267" s="63"/>
    </row>
    <row r="268" spans="1:12" x14ac:dyDescent="0.25">
      <c r="A268" s="185" t="str">
        <f>IF('Controlo de Propinas'!A267="","",'Controlo de Propinas'!A267)</f>
        <v/>
      </c>
      <c r="B268" s="185" t="str">
        <f>IF('Controlo de Propinas'!B267="","",'Controlo de Propinas'!B267)</f>
        <v/>
      </c>
      <c r="C268" s="185" t="str">
        <f>IF('Controlo de Propinas'!C267="","",'Controlo de Propinas'!C267)</f>
        <v/>
      </c>
      <c r="D268" s="63"/>
      <c r="E268" s="63"/>
      <c r="F268" s="185" t="str">
        <f>IF('Controlo de Propinas'!K267="","",'Controlo de Propinas'!K267)</f>
        <v/>
      </c>
      <c r="G268" s="64">
        <f t="shared" si="7"/>
        <v>260000</v>
      </c>
      <c r="H268" s="63"/>
      <c r="I268" s="63"/>
      <c r="J268" s="63"/>
      <c r="K268" s="63"/>
      <c r="L268" s="63"/>
    </row>
    <row r="269" spans="1:12" x14ac:dyDescent="0.25">
      <c r="A269" s="185" t="str">
        <f>IF('Controlo de Propinas'!A268="","",'Controlo de Propinas'!A268)</f>
        <v/>
      </c>
      <c r="B269" s="185" t="str">
        <f>IF('Controlo de Propinas'!B268="","",'Controlo de Propinas'!B268)</f>
        <v/>
      </c>
      <c r="C269" s="185" t="str">
        <f>IF('Controlo de Propinas'!C268="","",'Controlo de Propinas'!C268)</f>
        <v/>
      </c>
      <c r="D269" s="63"/>
      <c r="E269" s="63"/>
      <c r="F269" s="185" t="str">
        <f>IF('Controlo de Propinas'!K268="","",'Controlo de Propinas'!K268)</f>
        <v/>
      </c>
      <c r="G269" s="64">
        <f t="shared" si="7"/>
        <v>260000</v>
      </c>
      <c r="H269" s="63"/>
      <c r="I269" s="63"/>
      <c r="J269" s="63"/>
      <c r="K269" s="63"/>
      <c r="L269" s="63"/>
    </row>
    <row r="270" spans="1:12" x14ac:dyDescent="0.25">
      <c r="A270" s="185" t="str">
        <f>IF('Controlo de Propinas'!A269="","",'Controlo de Propinas'!A269)</f>
        <v/>
      </c>
      <c r="B270" s="185" t="str">
        <f>IF('Controlo de Propinas'!B269="","",'Controlo de Propinas'!B269)</f>
        <v/>
      </c>
      <c r="C270" s="185" t="str">
        <f>IF('Controlo de Propinas'!C269="","",'Controlo de Propinas'!C269)</f>
        <v/>
      </c>
      <c r="D270" s="63"/>
      <c r="E270" s="63"/>
      <c r="F270" s="185" t="str">
        <f>IF('Controlo de Propinas'!K269="","",'Controlo de Propinas'!K269)</f>
        <v/>
      </c>
      <c r="G270" s="64">
        <f t="shared" si="7"/>
        <v>260000</v>
      </c>
      <c r="H270" s="63"/>
      <c r="I270" s="63"/>
      <c r="J270" s="63"/>
      <c r="K270" s="63"/>
      <c r="L270" s="63"/>
    </row>
    <row r="271" spans="1:12" x14ac:dyDescent="0.25">
      <c r="A271" s="185" t="str">
        <f>IF('Controlo de Propinas'!A270="","",'Controlo de Propinas'!A270)</f>
        <v/>
      </c>
      <c r="B271" s="185" t="str">
        <f>IF('Controlo de Propinas'!B270="","",'Controlo de Propinas'!B270)</f>
        <v/>
      </c>
      <c r="C271" s="185" t="str">
        <f>IF('Controlo de Propinas'!C270="","",'Controlo de Propinas'!C270)</f>
        <v/>
      </c>
      <c r="D271" s="63"/>
      <c r="E271" s="63"/>
      <c r="F271" s="185" t="str">
        <f>IF('Controlo de Propinas'!K270="","",'Controlo de Propinas'!K270)</f>
        <v/>
      </c>
      <c r="G271" s="64">
        <f t="shared" si="7"/>
        <v>260000</v>
      </c>
      <c r="H271" s="63"/>
      <c r="I271" s="63"/>
      <c r="J271" s="63"/>
      <c r="K271" s="63"/>
      <c r="L271" s="63"/>
    </row>
    <row r="272" spans="1:12" x14ac:dyDescent="0.25">
      <c r="A272" s="185" t="str">
        <f>IF('Controlo de Propinas'!A271="","",'Controlo de Propinas'!A271)</f>
        <v/>
      </c>
      <c r="B272" s="185" t="str">
        <f>IF('Controlo de Propinas'!B271="","",'Controlo de Propinas'!B271)</f>
        <v/>
      </c>
      <c r="C272" s="185" t="str">
        <f>IF('Controlo de Propinas'!C271="","",'Controlo de Propinas'!C271)</f>
        <v/>
      </c>
      <c r="D272" s="63"/>
      <c r="E272" s="63"/>
      <c r="F272" s="185" t="str">
        <f>IF('Controlo de Propinas'!K271="","",'Controlo de Propinas'!K271)</f>
        <v/>
      </c>
      <c r="G272" s="64">
        <f t="shared" si="7"/>
        <v>260000</v>
      </c>
      <c r="H272" s="63"/>
      <c r="I272" s="63"/>
      <c r="J272" s="63"/>
      <c r="K272" s="63"/>
      <c r="L272" s="63"/>
    </row>
    <row r="273" spans="1:12" x14ac:dyDescent="0.25">
      <c r="A273" s="185" t="str">
        <f>IF('Controlo de Propinas'!A272="","",'Controlo de Propinas'!A272)</f>
        <v/>
      </c>
      <c r="B273" s="185" t="str">
        <f>IF('Controlo de Propinas'!B272="","",'Controlo de Propinas'!B272)</f>
        <v/>
      </c>
      <c r="C273" s="185" t="str">
        <f>IF('Controlo de Propinas'!C272="","",'Controlo de Propinas'!C272)</f>
        <v/>
      </c>
      <c r="D273" s="63"/>
      <c r="E273" s="63"/>
      <c r="F273" s="185" t="str">
        <f>IF('Controlo de Propinas'!K272="","",'Controlo de Propinas'!K272)</f>
        <v/>
      </c>
      <c r="G273" s="64">
        <f t="shared" si="7"/>
        <v>260000</v>
      </c>
      <c r="H273" s="63"/>
      <c r="I273" s="63"/>
      <c r="J273" s="63"/>
      <c r="K273" s="63"/>
      <c r="L273" s="63"/>
    </row>
    <row r="274" spans="1:12" x14ac:dyDescent="0.25">
      <c r="A274" s="185" t="str">
        <f>IF('Controlo de Propinas'!A273="","",'Controlo de Propinas'!A273)</f>
        <v/>
      </c>
      <c r="B274" s="185" t="str">
        <f>IF('Controlo de Propinas'!B273="","",'Controlo de Propinas'!B273)</f>
        <v/>
      </c>
      <c r="C274" s="185" t="str">
        <f>IF('Controlo de Propinas'!C273="","",'Controlo de Propinas'!C273)</f>
        <v/>
      </c>
      <c r="D274" s="63"/>
      <c r="E274" s="63"/>
      <c r="F274" s="185" t="str">
        <f>IF('Controlo de Propinas'!K273="","",'Controlo de Propinas'!K273)</f>
        <v/>
      </c>
      <c r="G274" s="64">
        <f t="shared" si="7"/>
        <v>260000</v>
      </c>
      <c r="H274" s="63"/>
      <c r="I274" s="63"/>
      <c r="J274" s="63"/>
      <c r="K274" s="63"/>
      <c r="L274" s="63"/>
    </row>
    <row r="275" spans="1:12" x14ac:dyDescent="0.25">
      <c r="A275" s="185" t="str">
        <f>IF('Controlo de Propinas'!A274="","",'Controlo de Propinas'!A274)</f>
        <v/>
      </c>
      <c r="B275" s="185" t="str">
        <f>IF('Controlo de Propinas'!B274="","",'Controlo de Propinas'!B274)</f>
        <v/>
      </c>
      <c r="C275" s="185" t="str">
        <f>IF('Controlo de Propinas'!C274="","",'Controlo de Propinas'!C274)</f>
        <v/>
      </c>
      <c r="D275" s="63"/>
      <c r="E275" s="63"/>
      <c r="F275" s="185" t="str">
        <f>IF('Controlo de Propinas'!K274="","",'Controlo de Propinas'!K274)</f>
        <v/>
      </c>
      <c r="G275" s="64">
        <f t="shared" si="7"/>
        <v>260000</v>
      </c>
      <c r="H275" s="63"/>
      <c r="I275" s="63"/>
      <c r="J275" s="63"/>
      <c r="K275" s="63"/>
      <c r="L275" s="63"/>
    </row>
    <row r="276" spans="1:12" x14ac:dyDescent="0.25">
      <c r="A276" s="185" t="str">
        <f>IF('Controlo de Propinas'!A275="","",'Controlo de Propinas'!A275)</f>
        <v/>
      </c>
      <c r="B276" s="185" t="str">
        <f>IF('Controlo de Propinas'!B275="","",'Controlo de Propinas'!B275)</f>
        <v/>
      </c>
      <c r="C276" s="185" t="str">
        <f>IF('Controlo de Propinas'!C275="","",'Controlo de Propinas'!C275)</f>
        <v/>
      </c>
      <c r="D276" s="63"/>
      <c r="E276" s="63"/>
      <c r="F276" s="185" t="str">
        <f>IF('Controlo de Propinas'!K275="","",'Controlo de Propinas'!K275)</f>
        <v/>
      </c>
      <c r="G276" s="64">
        <f t="shared" si="7"/>
        <v>260000</v>
      </c>
      <c r="H276" s="63"/>
      <c r="I276" s="63"/>
      <c r="J276" s="63"/>
      <c r="K276" s="63"/>
      <c r="L276" s="63"/>
    </row>
    <row r="277" spans="1:12" x14ac:dyDescent="0.25">
      <c r="A277" s="185" t="str">
        <f>IF('Controlo de Propinas'!A276="","",'Controlo de Propinas'!A276)</f>
        <v/>
      </c>
      <c r="B277" s="185" t="str">
        <f>IF('Controlo de Propinas'!B276="","",'Controlo de Propinas'!B276)</f>
        <v/>
      </c>
      <c r="C277" s="185" t="str">
        <f>IF('Controlo de Propinas'!C276="","",'Controlo de Propinas'!C276)</f>
        <v/>
      </c>
      <c r="D277" s="63"/>
      <c r="E277" s="63"/>
      <c r="F277" s="185" t="str">
        <f>IF('Controlo de Propinas'!K276="","",'Controlo de Propinas'!K276)</f>
        <v/>
      </c>
      <c r="G277" s="64">
        <f t="shared" si="7"/>
        <v>260000</v>
      </c>
      <c r="H277" s="63"/>
      <c r="I277" s="63"/>
      <c r="J277" s="63"/>
      <c r="K277" s="63"/>
      <c r="L277" s="63"/>
    </row>
    <row r="278" spans="1:12" x14ac:dyDescent="0.25">
      <c r="A278" s="185" t="str">
        <f>IF('Controlo de Propinas'!A277="","",'Controlo de Propinas'!A277)</f>
        <v/>
      </c>
      <c r="B278" s="185" t="str">
        <f>IF('Controlo de Propinas'!B277="","",'Controlo de Propinas'!B277)</f>
        <v/>
      </c>
      <c r="C278" s="185" t="str">
        <f>IF('Controlo de Propinas'!C277="","",'Controlo de Propinas'!C277)</f>
        <v/>
      </c>
      <c r="D278" s="63"/>
      <c r="E278" s="63"/>
      <c r="F278" s="185" t="str">
        <f>IF('Controlo de Propinas'!K277="","",'Controlo de Propinas'!K277)</f>
        <v/>
      </c>
      <c r="G278" s="64">
        <f t="shared" si="7"/>
        <v>260000</v>
      </c>
      <c r="H278" s="63"/>
      <c r="I278" s="63"/>
      <c r="J278" s="63"/>
      <c r="K278" s="63"/>
      <c r="L278" s="63"/>
    </row>
    <row r="279" spans="1:12" x14ac:dyDescent="0.25">
      <c r="A279" s="185" t="str">
        <f>IF('Controlo de Propinas'!A278="","",'Controlo de Propinas'!A278)</f>
        <v/>
      </c>
      <c r="B279" s="185" t="str">
        <f>IF('Controlo de Propinas'!B278="","",'Controlo de Propinas'!B278)</f>
        <v/>
      </c>
      <c r="C279" s="185" t="str">
        <f>IF('Controlo de Propinas'!C278="","",'Controlo de Propinas'!C278)</f>
        <v/>
      </c>
      <c r="D279" s="63"/>
      <c r="E279" s="63"/>
      <c r="F279" s="185" t="str">
        <f>IF('Controlo de Propinas'!K278="","",'Controlo de Propinas'!K278)</f>
        <v/>
      </c>
      <c r="G279" s="64">
        <f t="shared" si="7"/>
        <v>260000</v>
      </c>
      <c r="H279" s="63"/>
      <c r="I279" s="63"/>
      <c r="J279" s="63"/>
      <c r="K279" s="63"/>
      <c r="L279" s="63"/>
    </row>
    <row r="280" spans="1:12" x14ac:dyDescent="0.25">
      <c r="A280" s="185" t="str">
        <f>IF('Controlo de Propinas'!A279="","",'Controlo de Propinas'!A279)</f>
        <v/>
      </c>
      <c r="B280" s="185" t="str">
        <f>IF('Controlo de Propinas'!B279="","",'Controlo de Propinas'!B279)</f>
        <v/>
      </c>
      <c r="C280" s="185" t="str">
        <f>IF('Controlo de Propinas'!C279="","",'Controlo de Propinas'!C279)</f>
        <v/>
      </c>
      <c r="D280" s="63"/>
      <c r="E280" s="63"/>
      <c r="F280" s="185" t="str">
        <f>IF('Controlo de Propinas'!K279="","",'Controlo de Propinas'!K279)</f>
        <v/>
      </c>
      <c r="G280" s="64">
        <f t="shared" si="7"/>
        <v>260000</v>
      </c>
      <c r="H280" s="63"/>
      <c r="I280" s="63"/>
      <c r="J280" s="63"/>
      <c r="K280" s="63"/>
      <c r="L280" s="63"/>
    </row>
    <row r="281" spans="1:12" x14ac:dyDescent="0.25">
      <c r="A281" s="185" t="str">
        <f>IF('Controlo de Propinas'!A280="","",'Controlo de Propinas'!A280)</f>
        <v/>
      </c>
      <c r="B281" s="185" t="str">
        <f>IF('Controlo de Propinas'!B280="","",'Controlo de Propinas'!B280)</f>
        <v/>
      </c>
      <c r="C281" s="185" t="str">
        <f>IF('Controlo de Propinas'!C280="","",'Controlo de Propinas'!C280)</f>
        <v/>
      </c>
      <c r="D281" s="63"/>
      <c r="E281" s="63"/>
      <c r="F281" s="185" t="str">
        <f>IF('Controlo de Propinas'!K280="","",'Controlo de Propinas'!K280)</f>
        <v/>
      </c>
      <c r="G281" s="64">
        <f t="shared" si="7"/>
        <v>260000</v>
      </c>
      <c r="H281" s="63"/>
      <c r="I281" s="63"/>
      <c r="J281" s="63"/>
      <c r="K281" s="63"/>
      <c r="L281" s="63"/>
    </row>
    <row r="282" spans="1:12" x14ac:dyDescent="0.25">
      <c r="A282" s="185" t="str">
        <f>IF('Controlo de Propinas'!A281="","",'Controlo de Propinas'!A281)</f>
        <v/>
      </c>
      <c r="B282" s="185" t="str">
        <f>IF('Controlo de Propinas'!B281="","",'Controlo de Propinas'!B281)</f>
        <v/>
      </c>
      <c r="C282" s="185" t="str">
        <f>IF('Controlo de Propinas'!C281="","",'Controlo de Propinas'!C281)</f>
        <v/>
      </c>
      <c r="D282" s="63"/>
      <c r="E282" s="63"/>
      <c r="F282" s="185" t="str">
        <f>IF('Controlo de Propinas'!K281="","",'Controlo de Propinas'!K281)</f>
        <v/>
      </c>
      <c r="G282" s="64">
        <f t="shared" si="7"/>
        <v>260000</v>
      </c>
      <c r="H282" s="63"/>
      <c r="I282" s="63"/>
      <c r="J282" s="63"/>
      <c r="K282" s="63"/>
      <c r="L282" s="63"/>
    </row>
    <row r="283" spans="1:12" x14ac:dyDescent="0.25">
      <c r="A283" s="185" t="str">
        <f>IF('Controlo de Propinas'!A282="","",'Controlo de Propinas'!A282)</f>
        <v/>
      </c>
      <c r="B283" s="185" t="str">
        <f>IF('Controlo de Propinas'!B282="","",'Controlo de Propinas'!B282)</f>
        <v/>
      </c>
      <c r="C283" s="185" t="str">
        <f>IF('Controlo de Propinas'!C282="","",'Controlo de Propinas'!C282)</f>
        <v/>
      </c>
      <c r="D283" s="63"/>
      <c r="E283" s="63"/>
      <c r="F283" s="185" t="str">
        <f>IF('Controlo de Propinas'!K282="","",'Controlo de Propinas'!K282)</f>
        <v/>
      </c>
      <c r="G283" s="64">
        <f t="shared" si="7"/>
        <v>260000</v>
      </c>
      <c r="H283" s="63"/>
      <c r="I283" s="63"/>
      <c r="J283" s="63"/>
      <c r="K283" s="63"/>
      <c r="L283" s="63"/>
    </row>
    <row r="284" spans="1:12" x14ac:dyDescent="0.25">
      <c r="A284" s="185" t="str">
        <f>IF('Controlo de Propinas'!A283="","",'Controlo de Propinas'!A283)</f>
        <v/>
      </c>
      <c r="B284" s="185" t="str">
        <f>IF('Controlo de Propinas'!B283="","",'Controlo de Propinas'!B283)</f>
        <v/>
      </c>
      <c r="C284" s="185" t="str">
        <f>IF('Controlo de Propinas'!C283="","",'Controlo de Propinas'!C283)</f>
        <v/>
      </c>
      <c r="D284" s="63"/>
      <c r="E284" s="63"/>
      <c r="F284" s="185" t="str">
        <f>IF('Controlo de Propinas'!K283="","",'Controlo de Propinas'!K283)</f>
        <v/>
      </c>
      <c r="G284" s="64">
        <f t="shared" si="7"/>
        <v>260000</v>
      </c>
      <c r="H284" s="63"/>
      <c r="I284" s="63"/>
      <c r="J284" s="63"/>
      <c r="K284" s="63"/>
      <c r="L284" s="63"/>
    </row>
    <row r="285" spans="1:12" x14ac:dyDescent="0.25">
      <c r="A285" s="185" t="str">
        <f>IF('Controlo de Propinas'!A284="","",'Controlo de Propinas'!A284)</f>
        <v/>
      </c>
      <c r="B285" s="185" t="str">
        <f>IF('Controlo de Propinas'!B284="","",'Controlo de Propinas'!B284)</f>
        <v/>
      </c>
      <c r="C285" s="185" t="str">
        <f>IF('Controlo de Propinas'!C284="","",'Controlo de Propinas'!C284)</f>
        <v/>
      </c>
      <c r="D285" s="63"/>
      <c r="E285" s="63"/>
      <c r="F285" s="185" t="str">
        <f>IF('Controlo de Propinas'!K284="","",'Controlo de Propinas'!K284)</f>
        <v/>
      </c>
      <c r="G285" s="64">
        <f t="shared" si="7"/>
        <v>260000</v>
      </c>
      <c r="H285" s="63"/>
      <c r="I285" s="63"/>
      <c r="J285" s="63"/>
      <c r="K285" s="63"/>
      <c r="L285" s="63"/>
    </row>
    <row r="286" spans="1:12" x14ac:dyDescent="0.25">
      <c r="A286" s="185" t="str">
        <f>IF('Controlo de Propinas'!A285="","",'Controlo de Propinas'!A285)</f>
        <v/>
      </c>
      <c r="B286" s="185" t="str">
        <f>IF('Controlo de Propinas'!B285="","",'Controlo de Propinas'!B285)</f>
        <v/>
      </c>
      <c r="C286" s="185" t="str">
        <f>IF('Controlo de Propinas'!C285="","",'Controlo de Propinas'!C285)</f>
        <v/>
      </c>
      <c r="D286" s="63"/>
      <c r="E286" s="63"/>
      <c r="F286" s="185" t="str">
        <f>IF('Controlo de Propinas'!K285="","",'Controlo de Propinas'!K285)</f>
        <v/>
      </c>
      <c r="G286" s="64" t="str">
        <f t="shared" si="7"/>
        <v/>
      </c>
      <c r="H286" s="63"/>
      <c r="I286" s="63"/>
      <c r="J286" s="63"/>
      <c r="K286" s="63"/>
      <c r="L286" s="63"/>
    </row>
    <row r="287" spans="1:12" x14ac:dyDescent="0.25">
      <c r="A287" s="185" t="str">
        <f>IF('Controlo de Propinas'!A286="","",'Controlo de Propinas'!A286)</f>
        <v/>
      </c>
      <c r="B287" s="185" t="str">
        <f>IF('Controlo de Propinas'!B286="","",'Controlo de Propinas'!B286)</f>
        <v/>
      </c>
      <c r="C287" s="185" t="str">
        <f>IF('Controlo de Propinas'!C286="","",'Controlo de Propinas'!C286)</f>
        <v/>
      </c>
      <c r="D287" s="63"/>
      <c r="E287" s="63"/>
      <c r="F287" s="185" t="str">
        <f>IF('Controlo de Propinas'!K286="","",'Controlo de Propinas'!K286)</f>
        <v/>
      </c>
      <c r="G287" s="64" t="str">
        <f t="shared" si="7"/>
        <v/>
      </c>
      <c r="H287" s="63"/>
      <c r="I287" s="63"/>
      <c r="J287" s="63"/>
      <c r="K287" s="63"/>
      <c r="L287" s="63"/>
    </row>
    <row r="288" spans="1:12" x14ac:dyDescent="0.25">
      <c r="A288" s="185" t="str">
        <f>IF('Controlo de Propinas'!A287="","",'Controlo de Propinas'!A287)</f>
        <v/>
      </c>
      <c r="B288" s="185" t="str">
        <f>IF('Controlo de Propinas'!B287="","",'Controlo de Propinas'!B287)</f>
        <v/>
      </c>
      <c r="C288" s="185" t="str">
        <f>IF('Controlo de Propinas'!C287="","",'Controlo de Propinas'!C287)</f>
        <v/>
      </c>
      <c r="D288" s="63"/>
      <c r="E288" s="63"/>
      <c r="F288" s="185" t="str">
        <f>IF('Controlo de Propinas'!K287="","",'Controlo de Propinas'!K287)</f>
        <v/>
      </c>
      <c r="G288" s="64" t="str">
        <f t="shared" si="7"/>
        <v/>
      </c>
      <c r="H288" s="63"/>
      <c r="I288" s="63"/>
      <c r="J288" s="63"/>
      <c r="K288" s="63"/>
      <c r="L288" s="63"/>
    </row>
    <row r="289" spans="1:12" x14ac:dyDescent="0.25">
      <c r="A289" s="185" t="str">
        <f>IF('Controlo de Propinas'!A288="","",'Controlo de Propinas'!A288)</f>
        <v/>
      </c>
      <c r="B289" s="185" t="str">
        <f>IF('Controlo de Propinas'!B288="","",'Controlo de Propinas'!B288)</f>
        <v/>
      </c>
      <c r="C289" s="185" t="str">
        <f>IF('Controlo de Propinas'!C288="","",'Controlo de Propinas'!C288)</f>
        <v/>
      </c>
      <c r="D289" s="63"/>
      <c r="E289" s="63"/>
      <c r="F289" s="185" t="str">
        <f>IF('Controlo de Propinas'!K288="","",'Controlo de Propinas'!K288)</f>
        <v/>
      </c>
      <c r="G289" s="64">
        <f t="shared" si="7"/>
        <v>170000</v>
      </c>
      <c r="H289" s="63"/>
      <c r="I289" s="63"/>
      <c r="J289" s="63"/>
      <c r="K289" s="63"/>
      <c r="L289" s="63"/>
    </row>
    <row r="290" spans="1:12" x14ac:dyDescent="0.25">
      <c r="A290" s="185" t="str">
        <f>IF('Controlo de Propinas'!A289="","",'Controlo de Propinas'!A289)</f>
        <v/>
      </c>
      <c r="B290" s="185" t="str">
        <f>IF('Controlo de Propinas'!B289="","",'Controlo de Propinas'!B289)</f>
        <v/>
      </c>
      <c r="C290" s="185" t="str">
        <f>IF('Controlo de Propinas'!C289="","",'Controlo de Propinas'!C289)</f>
        <v/>
      </c>
      <c r="D290" s="63"/>
      <c r="E290" s="63"/>
      <c r="F290" s="185" t="str">
        <f>IF('Controlo de Propinas'!K289="","",'Controlo de Propinas'!K289)</f>
        <v/>
      </c>
      <c r="G290" s="64">
        <f t="shared" si="7"/>
        <v>170000</v>
      </c>
      <c r="H290" s="63"/>
      <c r="I290" s="63"/>
      <c r="J290" s="63"/>
      <c r="K290" s="63"/>
      <c r="L290" s="63"/>
    </row>
    <row r="291" spans="1:12" x14ac:dyDescent="0.25">
      <c r="A291" s="185" t="str">
        <f>IF('Controlo de Propinas'!A290="","",'Controlo de Propinas'!A290)</f>
        <v/>
      </c>
      <c r="B291" s="185" t="str">
        <f>IF('Controlo de Propinas'!B290="","",'Controlo de Propinas'!B290)</f>
        <v/>
      </c>
      <c r="C291" s="185" t="str">
        <f>IF('Controlo de Propinas'!C290="","",'Controlo de Propinas'!C290)</f>
        <v/>
      </c>
      <c r="D291" s="63"/>
      <c r="E291" s="63"/>
      <c r="F291" s="185" t="str">
        <f>IF('Controlo de Propinas'!K290="","",'Controlo de Propinas'!K290)</f>
        <v/>
      </c>
      <c r="G291" s="64" t="str">
        <f t="shared" si="7"/>
        <v/>
      </c>
      <c r="H291" s="63"/>
      <c r="I291" s="63"/>
      <c r="J291" s="63"/>
      <c r="K291" s="63"/>
      <c r="L291" s="63"/>
    </row>
    <row r="292" spans="1:12" x14ac:dyDescent="0.25">
      <c r="A292" s="185" t="str">
        <f>IF('Controlo de Propinas'!A291="","",'Controlo de Propinas'!A291)</f>
        <v/>
      </c>
      <c r="B292" s="185" t="str">
        <f>IF('Controlo de Propinas'!B291="","",'Controlo de Propinas'!B291)</f>
        <v/>
      </c>
      <c r="C292" s="185" t="str">
        <f>IF('Controlo de Propinas'!C291="","",'Controlo de Propinas'!C291)</f>
        <v/>
      </c>
      <c r="D292" s="63"/>
      <c r="E292" s="63"/>
      <c r="F292" s="185" t="str">
        <f>IF('Controlo de Propinas'!K291="","",'Controlo de Propinas'!K291)</f>
        <v/>
      </c>
      <c r="G292" s="64" t="str">
        <f t="shared" si="7"/>
        <v/>
      </c>
      <c r="H292" s="63"/>
      <c r="I292" s="63"/>
      <c r="J292" s="63"/>
      <c r="K292" s="63"/>
      <c r="L292" s="63"/>
    </row>
    <row r="293" spans="1:12" x14ac:dyDescent="0.25">
      <c r="A293" s="185" t="str">
        <f>IF('Controlo de Propinas'!A292="","",'Controlo de Propinas'!A292)</f>
        <v/>
      </c>
      <c r="B293" s="185" t="str">
        <f>IF('Controlo de Propinas'!B292="","",'Controlo de Propinas'!B292)</f>
        <v/>
      </c>
      <c r="C293" s="185" t="str">
        <f>IF('Controlo de Propinas'!C292="","",'Controlo de Propinas'!C292)</f>
        <v/>
      </c>
      <c r="D293" s="63"/>
      <c r="E293" s="63"/>
      <c r="F293" s="185" t="str">
        <f>IF('Controlo de Propinas'!K292="","",'Controlo de Propinas'!K292)</f>
        <v/>
      </c>
      <c r="G293" s="64" t="str">
        <f t="shared" si="7"/>
        <v/>
      </c>
      <c r="H293" s="63"/>
      <c r="I293" s="63"/>
      <c r="J293" s="63"/>
      <c r="K293" s="63"/>
      <c r="L293" s="63"/>
    </row>
    <row r="294" spans="1:12" x14ac:dyDescent="0.25">
      <c r="A294" s="35" t="s">
        <v>98</v>
      </c>
      <c r="B294" s="35" t="str">
        <f>COUNTIF(B218:B257,"?*")&amp;" alunos"</f>
        <v>3 alunos</v>
      </c>
      <c r="C294" s="36"/>
      <c r="D294" s="36"/>
      <c r="E294" s="36"/>
      <c r="F294" s="36"/>
      <c r="G294" s="36"/>
      <c r="H294" s="36"/>
      <c r="I294" s="36"/>
      <c r="J294" s="36"/>
      <c r="K294" s="36"/>
      <c r="L294" s="36"/>
    </row>
  </sheetData>
  <mergeCells count="7">
    <mergeCell ref="A216:L216"/>
    <mergeCell ref="A1:L1"/>
    <mergeCell ref="A4:L4"/>
    <mergeCell ref="A172:L172"/>
    <mergeCell ref="A2:L2"/>
    <mergeCell ref="A190:L190"/>
    <mergeCell ref="A108:L108"/>
  </mergeCells>
  <dataValidations count="1">
    <dataValidation type="list" allowBlank="1" sqref="J5:J500 L5:L500" xr:uid="{00000000-0002-0000-0400-000000000000}">
      <formula1>"Sim,Não"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4"/>
  <sheetViews>
    <sheetView topLeftCell="A7" zoomScaleNormal="100" workbookViewId="0">
      <selection activeCell="J22" sqref="J22"/>
    </sheetView>
  </sheetViews>
  <sheetFormatPr defaultColWidth="8.5703125" defaultRowHeight="15" x14ac:dyDescent="0.25"/>
  <cols>
    <col min="1" max="1" width="9.7109375" style="188" customWidth="1"/>
    <col min="2" max="2" width="38" style="188" customWidth="1"/>
    <col min="3" max="4" width="32" style="188" customWidth="1"/>
    <col min="5" max="5" width="20" style="188" customWidth="1"/>
    <col min="6" max="6" width="18.28515625" style="188" customWidth="1"/>
    <col min="7" max="7" width="23" style="188" customWidth="1"/>
    <col min="8" max="8" width="16.140625" style="188" customWidth="1"/>
    <col min="9" max="9" width="22" style="188" customWidth="1"/>
    <col min="10" max="10" width="12" style="188" customWidth="1"/>
    <col min="11" max="11" width="18" style="188" customWidth="1"/>
    <col min="12" max="12" width="12" style="188" customWidth="1"/>
  </cols>
  <sheetData>
    <row r="1" spans="1:12" ht="21.75" customHeight="1" x14ac:dyDescent="0.25">
      <c r="A1" s="259" t="s">
        <v>156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2" ht="15" customHeight="1" x14ac:dyDescent="0.25">
      <c r="A2" s="260" t="s">
        <v>157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4" spans="1:12" ht="30" customHeight="1" x14ac:dyDescent="0.25">
      <c r="A4" s="66" t="s">
        <v>64</v>
      </c>
      <c r="B4" s="66" t="s">
        <v>65</v>
      </c>
      <c r="C4" s="66" t="s">
        <v>66</v>
      </c>
      <c r="D4" s="66" t="s">
        <v>158</v>
      </c>
      <c r="E4" s="66" t="s">
        <v>159</v>
      </c>
      <c r="F4" s="66" t="s">
        <v>160</v>
      </c>
      <c r="G4" s="66" t="s">
        <v>161</v>
      </c>
      <c r="H4" s="66" t="s">
        <v>162</v>
      </c>
      <c r="I4" s="66" t="s">
        <v>76</v>
      </c>
      <c r="J4" s="66" t="s">
        <v>138</v>
      </c>
      <c r="K4" s="66" t="s">
        <v>163</v>
      </c>
      <c r="L4" s="66" t="s">
        <v>164</v>
      </c>
    </row>
    <row r="5" spans="1:12" ht="15" customHeight="1" x14ac:dyDescent="0.25">
      <c r="A5" s="261" t="s">
        <v>165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</row>
    <row r="6" spans="1:12" ht="15" customHeight="1" x14ac:dyDescent="0.25">
      <c r="A6" s="67" t="s">
        <v>166</v>
      </c>
      <c r="B6" s="68" t="str">
        <f>'Controlo de Propinas'!B6</f>
        <v>Hazail Epandi Calei da Costa</v>
      </c>
      <c r="C6" s="69" t="str">
        <f>'Controlo de Propinas'!C6</f>
        <v>Maternelle</v>
      </c>
      <c r="D6" s="70" t="str">
        <f>IF('Controlo de Propinas'!E6="","",'Controlo de Propinas'!E6)</f>
        <v/>
      </c>
      <c r="E6" s="71" t="s">
        <v>167</v>
      </c>
      <c r="F6" s="196"/>
      <c r="G6" s="72"/>
      <c r="H6" s="72"/>
      <c r="I6" s="72"/>
      <c r="J6" s="69" t="str">
        <f t="shared" ref="J6:J14" si="0">IF(E6="Sim","Pago",IF(OR(D6=0,D6=""),"N/A","Pendente"))</f>
        <v>N/A</v>
      </c>
      <c r="K6" s="73">
        <f t="shared" ref="K6:K14" si="1">IF(E6="Sim",IF(D6="",0,D6),0)</f>
        <v>0</v>
      </c>
      <c r="L6" s="73">
        <f t="shared" ref="L6:L14" si="2">IF(E6="Sim",0,IF(D6="",0,D6))</f>
        <v>0</v>
      </c>
    </row>
    <row r="7" spans="1:12" ht="15" customHeight="1" x14ac:dyDescent="0.25">
      <c r="A7" s="67" t="s">
        <v>168</v>
      </c>
      <c r="B7" s="68" t="str">
        <f>'Controlo de Propinas'!B7</f>
        <v>Erick Libânio Sebastião da Silva</v>
      </c>
      <c r="C7" s="69" t="str">
        <f>'Controlo de Propinas'!C7</f>
        <v>Maternelle P1</v>
      </c>
      <c r="D7" s="70" t="str">
        <f>IF('Controlo de Propinas'!E7="","",'Controlo de Propinas'!E7)</f>
        <v/>
      </c>
      <c r="E7" s="71" t="s">
        <v>167</v>
      </c>
      <c r="F7" s="196"/>
      <c r="G7" s="72"/>
      <c r="H7" s="72"/>
      <c r="I7" s="72"/>
      <c r="J7" s="69" t="str">
        <f t="shared" si="0"/>
        <v>N/A</v>
      </c>
      <c r="K7" s="73">
        <f t="shared" si="1"/>
        <v>0</v>
      </c>
      <c r="L7" s="73">
        <f t="shared" si="2"/>
        <v>0</v>
      </c>
    </row>
    <row r="8" spans="1:12" ht="15" customHeight="1" x14ac:dyDescent="0.25">
      <c r="A8" s="67" t="s">
        <v>169</v>
      </c>
      <c r="B8" s="68" t="str">
        <f>'Controlo de Propinas'!B8</f>
        <v>Eloa Marina Sebastião da Silva</v>
      </c>
      <c r="C8" s="69" t="str">
        <f>'Controlo de Propinas'!C8</f>
        <v>Maternelle P2</v>
      </c>
      <c r="D8" s="70" t="str">
        <f>IF('Controlo de Propinas'!E8="","",'Controlo de Propinas'!E8)</f>
        <v/>
      </c>
      <c r="E8" s="71" t="s">
        <v>167</v>
      </c>
      <c r="F8" s="196"/>
      <c r="G8" s="72"/>
      <c r="H8" s="72"/>
      <c r="I8" s="72"/>
      <c r="J8" s="69" t="str">
        <f t="shared" si="0"/>
        <v>N/A</v>
      </c>
      <c r="K8" s="73">
        <f t="shared" si="1"/>
        <v>0</v>
      </c>
      <c r="L8" s="73">
        <f t="shared" si="2"/>
        <v>0</v>
      </c>
    </row>
    <row r="9" spans="1:12" ht="15" customHeight="1" x14ac:dyDescent="0.25">
      <c r="A9" s="67" t="s">
        <v>170</v>
      </c>
      <c r="B9" s="68" t="str">
        <f>'Controlo de Propinas'!B9</f>
        <v>Ivander Trindade Bernardo Clementino</v>
      </c>
      <c r="C9" s="69" t="str">
        <f>'Controlo de Propinas'!C9</f>
        <v>Maternelle P2</v>
      </c>
      <c r="D9" s="70" t="str">
        <f>IF('Controlo de Propinas'!E9="","",'Controlo de Propinas'!E9)</f>
        <v/>
      </c>
      <c r="E9" s="71" t="s">
        <v>167</v>
      </c>
      <c r="F9" s="196"/>
      <c r="G9" s="72"/>
      <c r="H9" s="72"/>
      <c r="I9" s="72"/>
      <c r="J9" s="69" t="str">
        <f t="shared" si="0"/>
        <v>N/A</v>
      </c>
      <c r="K9" s="73">
        <f t="shared" si="1"/>
        <v>0</v>
      </c>
      <c r="L9" s="73">
        <f t="shared" si="2"/>
        <v>0</v>
      </c>
    </row>
    <row r="10" spans="1:12" ht="15" customHeight="1" x14ac:dyDescent="0.25">
      <c r="A10" s="67" t="s">
        <v>171</v>
      </c>
      <c r="B10" s="68" t="str">
        <f>'Controlo de Propinas'!B10</f>
        <v>Gael Hanji Ventura Quimbundo</v>
      </c>
      <c r="C10" s="69" t="str">
        <f>'Controlo de Propinas'!C10</f>
        <v>Maternelle P3</v>
      </c>
      <c r="D10" s="70" t="str">
        <f>IF('Controlo de Propinas'!E10="","",'Controlo de Propinas'!E10)</f>
        <v/>
      </c>
      <c r="E10" s="71" t="s">
        <v>167</v>
      </c>
      <c r="F10" s="196"/>
      <c r="G10" s="72"/>
      <c r="H10" s="72"/>
      <c r="I10" s="72"/>
      <c r="J10" s="69" t="str">
        <f t="shared" si="0"/>
        <v>N/A</v>
      </c>
      <c r="K10" s="73">
        <f t="shared" si="1"/>
        <v>0</v>
      </c>
      <c r="L10" s="73">
        <f t="shared" si="2"/>
        <v>0</v>
      </c>
    </row>
    <row r="11" spans="1:12" ht="15" customHeight="1" x14ac:dyDescent="0.25">
      <c r="A11" s="67" t="s">
        <v>172</v>
      </c>
      <c r="B11" s="68" t="str">
        <f>'Controlo de Propinas'!B11</f>
        <v>Ivanna Chayane Bernardo Clementino</v>
      </c>
      <c r="C11" s="69" t="str">
        <f>'Controlo de Propinas'!C11</f>
        <v>Maternelle P3</v>
      </c>
      <c r="D11" s="70" t="str">
        <f>IF('Controlo de Propinas'!E11="","",'Controlo de Propinas'!E11)</f>
        <v/>
      </c>
      <c r="E11" s="71" t="s">
        <v>167</v>
      </c>
      <c r="F11" s="196"/>
      <c r="G11" s="72"/>
      <c r="H11" s="72"/>
      <c r="I11" s="72"/>
      <c r="J11" s="69" t="str">
        <f t="shared" si="0"/>
        <v>N/A</v>
      </c>
      <c r="K11" s="73">
        <f t="shared" si="1"/>
        <v>0</v>
      </c>
      <c r="L11" s="73">
        <f t="shared" si="2"/>
        <v>0</v>
      </c>
    </row>
    <row r="12" spans="1:12" ht="15" customHeight="1" x14ac:dyDescent="0.25">
      <c r="A12" s="67" t="s">
        <v>173</v>
      </c>
      <c r="B12" s="68" t="str">
        <f>'Controlo de Propinas'!B12</f>
        <v>Wendy Aryanne Chimuco Sabino</v>
      </c>
      <c r="C12" s="69" t="str">
        <f>'Controlo de Propinas'!C12</f>
        <v>Maternelle P3</v>
      </c>
      <c r="D12" s="70" t="str">
        <f>IF('Controlo de Propinas'!E12="","",'Controlo de Propinas'!E12)</f>
        <v/>
      </c>
      <c r="E12" s="71" t="s">
        <v>167</v>
      </c>
      <c r="F12" s="196"/>
      <c r="G12" s="72"/>
      <c r="H12" s="72"/>
      <c r="I12" s="72"/>
      <c r="J12" s="69" t="str">
        <f t="shared" si="0"/>
        <v>N/A</v>
      </c>
      <c r="K12" s="73">
        <f t="shared" si="1"/>
        <v>0</v>
      </c>
      <c r="L12" s="73">
        <f t="shared" si="2"/>
        <v>0</v>
      </c>
    </row>
    <row r="13" spans="1:12" ht="15" customHeight="1" x14ac:dyDescent="0.25">
      <c r="A13" s="67" t="s">
        <v>174</v>
      </c>
      <c r="B13" s="68" t="str">
        <f>'Controlo de Propinas'!B13</f>
        <v>Kesane Aimé Teixeira Correia de Azevedo</v>
      </c>
      <c r="C13" s="69" t="str">
        <f>'Controlo de Propinas'!C13</f>
        <v>Maternelle P1</v>
      </c>
      <c r="D13" s="70" t="str">
        <f>IF('Controlo de Propinas'!E13="","",'Controlo de Propinas'!E13)</f>
        <v/>
      </c>
      <c r="E13" s="71" t="s">
        <v>167</v>
      </c>
      <c r="F13" s="196"/>
      <c r="G13" s="72"/>
      <c r="H13" s="72"/>
      <c r="I13" s="72"/>
      <c r="J13" s="69" t="str">
        <f t="shared" si="0"/>
        <v>N/A</v>
      </c>
      <c r="K13" s="73">
        <f t="shared" si="1"/>
        <v>0</v>
      </c>
      <c r="L13" s="73">
        <f t="shared" si="2"/>
        <v>0</v>
      </c>
    </row>
    <row r="14" spans="1:12" ht="15" customHeight="1" x14ac:dyDescent="0.25">
      <c r="A14" s="67" t="s">
        <v>175</v>
      </c>
      <c r="B14" s="68" t="str">
        <f>'Controlo de Propinas'!B14</f>
        <v>Kuami Hazael Francisco Venâncio</v>
      </c>
      <c r="C14" s="69" t="str">
        <f>'Controlo de Propinas'!C14</f>
        <v>Maternelle P3</v>
      </c>
      <c r="D14" s="70" t="str">
        <f>IF('Controlo de Propinas'!E14="","",'Controlo de Propinas'!E14)</f>
        <v/>
      </c>
      <c r="E14" s="71" t="s">
        <v>167</v>
      </c>
      <c r="F14" s="196"/>
      <c r="G14" s="72"/>
      <c r="H14" s="72"/>
      <c r="I14" s="72"/>
      <c r="J14" s="69" t="str">
        <f t="shared" si="0"/>
        <v>N/A</v>
      </c>
      <c r="K14" s="73">
        <f t="shared" si="1"/>
        <v>0</v>
      </c>
      <c r="L14" s="73">
        <f t="shared" si="2"/>
        <v>0</v>
      </c>
    </row>
    <row r="15" spans="1:12" ht="15" customHeight="1" x14ac:dyDescent="0.25">
      <c r="A15" s="74"/>
      <c r="B15" s="75"/>
      <c r="C15" s="74"/>
      <c r="D15" s="76"/>
      <c r="E15" s="77"/>
      <c r="F15" s="197"/>
      <c r="G15" s="78"/>
      <c r="H15" s="78"/>
      <c r="I15" s="78"/>
      <c r="J15" s="79" t="str">
        <f>IF(E15="Sim","Pago",IF(D15=0,"N/A","Pendente"))</f>
        <v>N/A</v>
      </c>
      <c r="K15" s="80"/>
      <c r="L15" s="80"/>
    </row>
    <row r="16" spans="1:12" ht="15" customHeight="1" x14ac:dyDescent="0.25">
      <c r="A16" s="74"/>
      <c r="B16" s="75"/>
      <c r="C16" s="74"/>
      <c r="D16" s="76"/>
      <c r="E16" s="77"/>
      <c r="F16" s="197"/>
      <c r="G16" s="78"/>
      <c r="H16" s="78"/>
      <c r="I16" s="78"/>
      <c r="J16" s="79"/>
      <c r="K16" s="80"/>
      <c r="L16" s="80"/>
    </row>
    <row r="17" spans="1:12" ht="15" customHeight="1" x14ac:dyDescent="0.25">
      <c r="A17" s="81" t="s">
        <v>98</v>
      </c>
      <c r="B17" s="81" t="str">
        <f>COUNTA(B6:B14)&amp;" alunos"</f>
        <v>9 alunos</v>
      </c>
      <c r="C17" s="82"/>
      <c r="D17" s="83">
        <f>SUM(D6:D14)</f>
        <v>0</v>
      </c>
      <c r="E17" s="82"/>
      <c r="F17" s="82"/>
      <c r="G17" s="82"/>
      <c r="H17" s="82"/>
      <c r="I17" s="82"/>
      <c r="J17" s="82"/>
      <c r="K17" s="83">
        <f>SUM(K6:K14)</f>
        <v>0</v>
      </c>
      <c r="L17" s="83">
        <f>SUM(L6:L14)</f>
        <v>0</v>
      </c>
    </row>
    <row r="19" spans="1:12" ht="15" customHeight="1" x14ac:dyDescent="0.25">
      <c r="A19" s="261" t="s">
        <v>15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26.25" customHeight="1" x14ac:dyDescent="0.25">
      <c r="A20" s="66" t="s">
        <v>64</v>
      </c>
      <c r="B20" s="66" t="s">
        <v>65</v>
      </c>
      <c r="C20" s="66" t="s">
        <v>66</v>
      </c>
      <c r="D20" s="66" t="s">
        <v>158</v>
      </c>
      <c r="E20" s="66" t="s">
        <v>159</v>
      </c>
      <c r="F20" s="66" t="s">
        <v>160</v>
      </c>
      <c r="G20" s="66" t="s">
        <v>161</v>
      </c>
      <c r="H20" s="66" t="s">
        <v>162</v>
      </c>
      <c r="I20" s="66" t="s">
        <v>76</v>
      </c>
      <c r="J20" s="66" t="s">
        <v>138</v>
      </c>
      <c r="K20" s="66" t="s">
        <v>163</v>
      </c>
      <c r="L20" s="66" t="s">
        <v>164</v>
      </c>
    </row>
    <row r="21" spans="1:12" ht="15" customHeight="1" x14ac:dyDescent="0.25">
      <c r="A21" s="84" t="s">
        <v>104</v>
      </c>
      <c r="B21" s="85" t="str">
        <f>'Controlo de Propinas'!B110</f>
        <v>Crisber Uluwami António Cristovão De Sousa</v>
      </c>
      <c r="C21" s="85" t="str">
        <f>'Controlo de Propinas'!C110</f>
        <v>CM1</v>
      </c>
      <c r="D21" s="70" t="str">
        <f>IF('Controlo de Propinas'!E110="","",'Controlo de Propinas'!E110)</f>
        <v/>
      </c>
      <c r="E21" s="71" t="s">
        <v>176</v>
      </c>
      <c r="F21" s="198">
        <v>46230</v>
      </c>
      <c r="G21" s="72" t="s">
        <v>177</v>
      </c>
      <c r="H21" s="72"/>
      <c r="I21" s="72"/>
      <c r="J21" s="69" t="str">
        <f>IF(E21="Sim","Pago",IF(OR(D21=0,D21=""),"N/A","Pendente"))</f>
        <v>Pago</v>
      </c>
      <c r="K21" s="70">
        <f>IF(E21="Sim",IF(D21="",0,D21),0)</f>
        <v>0</v>
      </c>
      <c r="L21" s="70">
        <f>IF(E21="Sim",0,IF(D21="",0,D21))</f>
        <v>0</v>
      </c>
    </row>
    <row r="22" spans="1:12" ht="15" customHeight="1" x14ac:dyDescent="0.25">
      <c r="A22" s="84" t="s">
        <v>106</v>
      </c>
      <c r="B22" s="85">
        <f>'Controlo de Propinas'!B111</f>
        <v>0</v>
      </c>
      <c r="C22" s="85" t="str">
        <f>'Controlo de Propinas'!C111</f>
        <v>CM1</v>
      </c>
      <c r="D22" s="70" t="str">
        <f>IF('Controlo de Propinas'!E111="","",'Controlo de Propinas'!E111)</f>
        <v/>
      </c>
      <c r="E22" s="71" t="s">
        <v>176</v>
      </c>
      <c r="F22" s="198">
        <v>46167</v>
      </c>
      <c r="G22" s="72" t="s">
        <v>177</v>
      </c>
      <c r="H22" s="72"/>
      <c r="I22" s="72"/>
      <c r="J22" s="69" t="str">
        <f>IF(E22="Sim","Pago",IF(OR(D22=0,D22=""),"N/A","Pendente"))</f>
        <v>Pago</v>
      </c>
      <c r="K22" s="70">
        <f>IF(E22="Sim",IF(D22="",0,D22),0)</f>
        <v>0</v>
      </c>
      <c r="L22" s="70">
        <f>IF(E22="Sim",0,IF(D22="",0,D22))</f>
        <v>0</v>
      </c>
    </row>
    <row r="23" spans="1:12" ht="15" customHeight="1" x14ac:dyDescent="0.25">
      <c r="A23" s="84" t="s">
        <v>108</v>
      </c>
      <c r="B23" s="85">
        <f>'Controlo de Propinas'!B112</f>
        <v>0</v>
      </c>
      <c r="C23" s="85" t="str">
        <f>'Controlo de Propinas'!C112</f>
        <v>CM1</v>
      </c>
      <c r="D23" s="70" t="str">
        <f>IF('Controlo de Propinas'!E112="","",'Controlo de Propinas'!E112)</f>
        <v/>
      </c>
      <c r="E23" s="71" t="s">
        <v>167</v>
      </c>
      <c r="F23" s="198"/>
      <c r="G23" s="72"/>
      <c r="H23" s="72"/>
      <c r="I23" s="72"/>
      <c r="J23" s="69" t="str">
        <f>IF(E23="Sim","Pago",IF(OR(D23=0,D23=""),"N/A","Pendente"))</f>
        <v>N/A</v>
      </c>
      <c r="K23" s="70">
        <f>IF(E23="Sim",IF(D23="",0,D23),0)</f>
        <v>0</v>
      </c>
      <c r="L23" s="70">
        <f>IF(E23="Sim",0,IF(D23="",0,D23))</f>
        <v>0</v>
      </c>
    </row>
    <row r="24" spans="1:12" ht="15" customHeight="1" x14ac:dyDescent="0.25">
      <c r="A24" s="84" t="s">
        <v>110</v>
      </c>
      <c r="B24" s="85">
        <f>'Controlo de Propinas'!B113</f>
        <v>0</v>
      </c>
      <c r="C24" s="85" t="str">
        <f>'Controlo de Propinas'!C113</f>
        <v>CM1</v>
      </c>
      <c r="D24" s="70" t="str">
        <f>IF('Controlo de Propinas'!E113="","",'Controlo de Propinas'!E113)</f>
        <v/>
      </c>
      <c r="E24" s="71" t="s">
        <v>167</v>
      </c>
      <c r="F24" s="198"/>
      <c r="G24" s="72"/>
      <c r="H24" s="72"/>
      <c r="I24" s="72"/>
      <c r="J24" s="69" t="str">
        <f>IF(E24="Sim","Pago",IF(OR(D24=0,D24=""),"N/A","Pendente"))</f>
        <v>N/A</v>
      </c>
      <c r="K24" s="70">
        <f>IF(E24="Sim",IF(D24="",0,D24),0)</f>
        <v>0</v>
      </c>
      <c r="L24" s="70">
        <f>IF(E24="Sim",0,IF(D24="",0,D24))</f>
        <v>0</v>
      </c>
    </row>
    <row r="25" spans="1:12" ht="15" customHeight="1" x14ac:dyDescent="0.25">
      <c r="A25" s="16"/>
      <c r="B25" s="16"/>
      <c r="C25" s="16"/>
      <c r="D25" s="76"/>
      <c r="E25" s="77"/>
      <c r="F25" s="199"/>
      <c r="G25" s="78"/>
      <c r="H25" s="78"/>
      <c r="I25" s="78"/>
      <c r="J25" s="79"/>
      <c r="K25" s="86"/>
      <c r="L25" s="86"/>
    </row>
    <row r="26" spans="1:12" ht="15" customHeight="1" x14ac:dyDescent="0.25">
      <c r="A26" s="81" t="s">
        <v>98</v>
      </c>
      <c r="B26" s="81" t="str">
        <f>COUNTA(B21:B24)&amp;" alunos"</f>
        <v>4 alunos</v>
      </c>
      <c r="C26" s="82"/>
      <c r="D26" s="83">
        <f>SUM(D21:D24)</f>
        <v>0</v>
      </c>
      <c r="E26" s="82"/>
      <c r="F26" s="82"/>
      <c r="G26" s="82"/>
      <c r="H26" s="82"/>
      <c r="I26" s="82"/>
      <c r="J26" s="82"/>
      <c r="K26" s="83">
        <f>SUM(K21:K24)</f>
        <v>0</v>
      </c>
      <c r="L26" s="83">
        <f>SUM(L21:L24)</f>
        <v>0</v>
      </c>
    </row>
    <row r="28" spans="1:12" ht="15" customHeight="1" x14ac:dyDescent="0.25">
      <c r="A28" s="261" t="s">
        <v>178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26.25" customHeight="1" x14ac:dyDescent="0.25">
      <c r="A29" s="66" t="s">
        <v>64</v>
      </c>
      <c r="B29" s="66" t="s">
        <v>65</v>
      </c>
      <c r="C29" s="66" t="s">
        <v>66</v>
      </c>
      <c r="D29" s="66" t="s">
        <v>158</v>
      </c>
      <c r="E29" s="66" t="s">
        <v>159</v>
      </c>
      <c r="F29" s="66" t="s">
        <v>160</v>
      </c>
      <c r="G29" s="66" t="s">
        <v>161</v>
      </c>
      <c r="H29" s="66" t="s">
        <v>162</v>
      </c>
      <c r="I29" s="66" t="s">
        <v>76</v>
      </c>
      <c r="J29" s="66" t="s">
        <v>138</v>
      </c>
      <c r="K29" s="66" t="s">
        <v>163</v>
      </c>
      <c r="L29" s="66" t="s">
        <v>164</v>
      </c>
    </row>
    <row r="30" spans="1:12" ht="15" customHeight="1" x14ac:dyDescent="0.25">
      <c r="A30" s="16" t="s">
        <v>116</v>
      </c>
      <c r="B30" s="87">
        <f>'Controlo de Propinas'!B174</f>
        <v>0</v>
      </c>
      <c r="C30" s="87" t="str">
        <f>'Controlo de Propinas'!C174</f>
        <v>CM2</v>
      </c>
      <c r="D30" s="88" t="str">
        <f>IF('Controlo de Propinas'!E174="","",'Controlo de Propinas'!E174)</f>
        <v/>
      </c>
      <c r="E30" s="77" t="s">
        <v>167</v>
      </c>
      <c r="F30" s="197"/>
      <c r="G30" s="78"/>
      <c r="H30" s="78"/>
      <c r="I30" s="78"/>
      <c r="J30" s="79" t="str">
        <f>IF(E30="Sim","Pago",IF(OR(D30=0,D30=""),"N/A","Pendente"))</f>
        <v>N/A</v>
      </c>
      <c r="K30" s="86">
        <f>IF(E30="Sim",IF(D30="",0,D30),0)</f>
        <v>0</v>
      </c>
      <c r="L30" s="86">
        <f>IF(E30="Sim",0,IF(D30="",0,D30))</f>
        <v>0</v>
      </c>
    </row>
    <row r="31" spans="1:12" ht="15" customHeight="1" x14ac:dyDescent="0.25">
      <c r="A31" s="16"/>
      <c r="B31" s="16"/>
      <c r="C31" s="16"/>
      <c r="D31" s="76"/>
      <c r="E31" s="77"/>
      <c r="F31" s="197"/>
      <c r="G31" s="78"/>
      <c r="H31" s="78"/>
      <c r="I31" s="78"/>
      <c r="J31" s="79"/>
      <c r="K31" s="86"/>
      <c r="L31" s="86"/>
    </row>
    <row r="32" spans="1:12" ht="15" customHeight="1" x14ac:dyDescent="0.25">
      <c r="A32" s="16"/>
      <c r="B32" s="16"/>
      <c r="C32" s="16"/>
      <c r="D32" s="76"/>
      <c r="E32" s="77"/>
      <c r="F32" s="197"/>
      <c r="G32" s="78"/>
      <c r="H32" s="78"/>
      <c r="I32" s="78"/>
      <c r="J32" s="79"/>
      <c r="K32" s="86"/>
      <c r="L32" s="86"/>
    </row>
    <row r="33" spans="1:12" ht="15" customHeight="1" x14ac:dyDescent="0.25">
      <c r="A33" s="81" t="s">
        <v>98</v>
      </c>
      <c r="B33" s="81" t="str">
        <f>COUNTA(B30:B30)&amp;" alunos"</f>
        <v>1 alunos</v>
      </c>
      <c r="C33" s="82"/>
      <c r="D33" s="83">
        <f>SUM(D30:D30)</f>
        <v>0</v>
      </c>
      <c r="E33" s="82"/>
      <c r="F33" s="82"/>
      <c r="G33" s="82"/>
      <c r="H33" s="82"/>
      <c r="I33" s="82"/>
      <c r="J33" s="82"/>
      <c r="K33" s="83">
        <f>SUM(K30:K30)</f>
        <v>0</v>
      </c>
      <c r="L33" s="83">
        <f>SUM(L30:L30)</f>
        <v>0</v>
      </c>
    </row>
    <row r="35" spans="1:12" ht="15" customHeight="1" x14ac:dyDescent="0.25">
      <c r="A35" s="89" t="s">
        <v>122</v>
      </c>
      <c r="B35" s="90" t="str">
        <f>COUNTA(B6:B14)+COUNTA(B21:B24)+COUNTA(B30:B30)&amp;" alunos"</f>
        <v>14 alunos</v>
      </c>
      <c r="C35" s="91"/>
      <c r="D35" s="92">
        <f>D17+D26+D33</f>
        <v>0</v>
      </c>
      <c r="E35" s="91"/>
      <c r="F35" s="91"/>
      <c r="G35" s="91"/>
      <c r="H35" s="91"/>
      <c r="I35" s="91"/>
      <c r="J35" s="91"/>
      <c r="K35" s="92">
        <f>K17+K26+K33</f>
        <v>0</v>
      </c>
      <c r="L35" s="92">
        <f>L17+L26+L33</f>
        <v>0</v>
      </c>
    </row>
    <row r="37" spans="1:12" ht="15" customHeight="1" x14ac:dyDescent="0.25">
      <c r="A37" s="260" t="s">
        <v>179</v>
      </c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</row>
    <row r="38" spans="1:12" ht="15" customHeight="1" x14ac:dyDescent="0.25">
      <c r="A38" s="93" t="s">
        <v>180</v>
      </c>
    </row>
    <row r="40" spans="1:12" ht="15" customHeight="1" x14ac:dyDescent="0.25">
      <c r="A40" s="262" t="s">
        <v>181</v>
      </c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</row>
    <row r="41" spans="1:12" ht="15" customHeight="1" x14ac:dyDescent="0.25">
      <c r="A41" s="266" t="s">
        <v>182</v>
      </c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" customHeight="1" x14ac:dyDescent="0.25"/>
    <row r="43" spans="1:12" ht="15" customHeight="1" x14ac:dyDescent="0.25">
      <c r="A43" s="94" t="s">
        <v>183</v>
      </c>
      <c r="B43" s="94" t="s">
        <v>184</v>
      </c>
      <c r="C43" s="94" t="s">
        <v>185</v>
      </c>
      <c r="D43" s="94" t="s">
        <v>186</v>
      </c>
      <c r="E43" s="94" t="s">
        <v>187</v>
      </c>
      <c r="F43" s="94" t="s">
        <v>158</v>
      </c>
      <c r="G43" s="94" t="s">
        <v>159</v>
      </c>
      <c r="H43" s="94" t="s">
        <v>160</v>
      </c>
      <c r="I43" s="94" t="s">
        <v>161</v>
      </c>
      <c r="J43" s="94" t="s">
        <v>162</v>
      </c>
      <c r="K43" s="94" t="s">
        <v>76</v>
      </c>
      <c r="L43" s="94" t="s">
        <v>138</v>
      </c>
    </row>
    <row r="44" spans="1:12" ht="15" customHeight="1" x14ac:dyDescent="0.25">
      <c r="A44" s="95" t="str">
        <f>IF(C44="","",TEXT(COUNTA($C$44:C44),"000"))</f>
        <v>001</v>
      </c>
      <c r="B44" s="72" t="s">
        <v>188</v>
      </c>
      <c r="C44" s="72" t="s">
        <v>189</v>
      </c>
      <c r="D44" s="72" t="s">
        <v>190</v>
      </c>
      <c r="E44" s="72" t="s">
        <v>191</v>
      </c>
      <c r="F44" s="96">
        <v>2000</v>
      </c>
      <c r="G44" s="72" t="s">
        <v>167</v>
      </c>
      <c r="H44" s="198">
        <v>46246</v>
      </c>
      <c r="I44" s="72" t="s">
        <v>192</v>
      </c>
      <c r="J44" s="72"/>
      <c r="K44" s="72"/>
      <c r="L44" s="69" t="str">
        <f t="shared" ref="L44:L58" si="3">IF(C44="","",IF(G44="Sim","Pago",IF(OR(F44=0,F44=""),"N/A","Pendente")))</f>
        <v>Pendente</v>
      </c>
    </row>
    <row r="45" spans="1:12" ht="15" customHeight="1" x14ac:dyDescent="0.25">
      <c r="A45" s="95" t="str">
        <f>IF(C45="","",TEXT(COUNTA($C$44:C45),"000"))</f>
        <v/>
      </c>
      <c r="B45" s="72"/>
      <c r="C45" s="72"/>
      <c r="D45" s="72"/>
      <c r="E45" s="72"/>
      <c r="F45" s="96"/>
      <c r="G45" s="72"/>
      <c r="H45" s="198"/>
      <c r="I45" s="72"/>
      <c r="J45" s="72"/>
      <c r="K45" s="72"/>
      <c r="L45" s="69" t="str">
        <f t="shared" si="3"/>
        <v/>
      </c>
    </row>
    <row r="46" spans="1:12" ht="15" customHeight="1" x14ac:dyDescent="0.25">
      <c r="A46" s="95" t="str">
        <f>IF(C46="","",TEXT(COUNTA($C$44:C46),"000"))</f>
        <v/>
      </c>
      <c r="B46" s="72"/>
      <c r="C46" s="72"/>
      <c r="D46" s="72"/>
      <c r="E46" s="72"/>
      <c r="F46" s="96"/>
      <c r="G46" s="72"/>
      <c r="H46" s="198"/>
      <c r="I46" s="72"/>
      <c r="J46" s="72"/>
      <c r="K46" s="72"/>
      <c r="L46" s="69" t="str">
        <f t="shared" si="3"/>
        <v/>
      </c>
    </row>
    <row r="47" spans="1:12" ht="15" customHeight="1" x14ac:dyDescent="0.25">
      <c r="A47" s="95" t="str">
        <f>IF(C47="","",TEXT(COUNTA($C$44:C47),"000"))</f>
        <v/>
      </c>
      <c r="B47" s="72"/>
      <c r="C47" s="72"/>
      <c r="D47" s="72"/>
      <c r="E47" s="72"/>
      <c r="F47" s="96"/>
      <c r="G47" s="72"/>
      <c r="H47" s="198"/>
      <c r="I47" s="72"/>
      <c r="J47" s="72"/>
      <c r="K47" s="72"/>
      <c r="L47" s="69" t="str">
        <f t="shared" si="3"/>
        <v/>
      </c>
    </row>
    <row r="48" spans="1:12" ht="15" customHeight="1" x14ac:dyDescent="0.25">
      <c r="A48" s="95" t="str">
        <f>IF(C48="","",TEXT(COUNTA($C$44:C48),"000"))</f>
        <v/>
      </c>
      <c r="B48" s="72"/>
      <c r="C48" s="72"/>
      <c r="D48" s="72"/>
      <c r="E48" s="72"/>
      <c r="F48" s="96"/>
      <c r="G48" s="72"/>
      <c r="H48" s="198"/>
      <c r="I48" s="72"/>
      <c r="J48" s="72"/>
      <c r="K48" s="72"/>
      <c r="L48" s="69" t="str">
        <f t="shared" si="3"/>
        <v/>
      </c>
    </row>
    <row r="49" spans="1:12" ht="15" customHeight="1" x14ac:dyDescent="0.25">
      <c r="A49" s="95" t="str">
        <f>IF(C49="","",TEXT(COUNTA($C$44:C49),"000"))</f>
        <v/>
      </c>
      <c r="B49" s="72"/>
      <c r="C49" s="72"/>
      <c r="D49" s="72"/>
      <c r="E49" s="72"/>
      <c r="F49" s="96"/>
      <c r="G49" s="72"/>
      <c r="H49" s="198"/>
      <c r="I49" s="72"/>
      <c r="J49" s="72"/>
      <c r="K49" s="72"/>
      <c r="L49" s="69" t="str">
        <f t="shared" si="3"/>
        <v/>
      </c>
    </row>
    <row r="50" spans="1:12" ht="15" customHeight="1" x14ac:dyDescent="0.25">
      <c r="A50" s="95" t="str">
        <f>IF(C50="","",TEXT(COUNTA($C$44:C50),"000"))</f>
        <v/>
      </c>
      <c r="B50" s="72"/>
      <c r="C50" s="72"/>
      <c r="D50" s="72"/>
      <c r="E50" s="72"/>
      <c r="F50" s="96"/>
      <c r="G50" s="72"/>
      <c r="H50" s="198"/>
      <c r="I50" s="72"/>
      <c r="J50" s="72"/>
      <c r="K50" s="72"/>
      <c r="L50" s="69" t="str">
        <f t="shared" si="3"/>
        <v/>
      </c>
    </row>
    <row r="51" spans="1:12" ht="15" customHeight="1" x14ac:dyDescent="0.25">
      <c r="A51" s="95" t="str">
        <f>IF(C51="","",TEXT(COUNTA($C$44:C51),"000"))</f>
        <v/>
      </c>
      <c r="B51" s="72"/>
      <c r="C51" s="72"/>
      <c r="D51" s="72"/>
      <c r="E51" s="72"/>
      <c r="F51" s="96"/>
      <c r="G51" s="72"/>
      <c r="H51" s="198"/>
      <c r="I51" s="72"/>
      <c r="J51" s="72"/>
      <c r="K51" s="72"/>
      <c r="L51" s="69" t="str">
        <f t="shared" si="3"/>
        <v/>
      </c>
    </row>
    <row r="52" spans="1:12" ht="15" customHeight="1" x14ac:dyDescent="0.25">
      <c r="A52" s="95" t="str">
        <f>IF(C52="","",TEXT(COUNTA($C$44:C52),"000"))</f>
        <v/>
      </c>
      <c r="B52" s="72"/>
      <c r="C52" s="72"/>
      <c r="D52" s="72"/>
      <c r="E52" s="72"/>
      <c r="F52" s="96"/>
      <c r="G52" s="72"/>
      <c r="H52" s="198"/>
      <c r="I52" s="72"/>
      <c r="J52" s="72"/>
      <c r="K52" s="72"/>
      <c r="L52" s="69" t="str">
        <f t="shared" si="3"/>
        <v/>
      </c>
    </row>
    <row r="53" spans="1:12" ht="15" customHeight="1" x14ac:dyDescent="0.25">
      <c r="A53" s="95" t="str">
        <f>IF(C53="","",TEXT(COUNTA($C$44:C53),"000"))</f>
        <v/>
      </c>
      <c r="B53" s="72"/>
      <c r="C53" s="72"/>
      <c r="D53" s="72"/>
      <c r="E53" s="72"/>
      <c r="F53" s="96"/>
      <c r="G53" s="72"/>
      <c r="H53" s="198"/>
      <c r="I53" s="72"/>
      <c r="J53" s="72"/>
      <c r="K53" s="72"/>
      <c r="L53" s="69" t="str">
        <f t="shared" si="3"/>
        <v/>
      </c>
    </row>
    <row r="54" spans="1:12" ht="15" customHeight="1" x14ac:dyDescent="0.25">
      <c r="A54" s="95" t="str">
        <f>IF(C54="","",TEXT(COUNTA($C$44:C54),"000"))</f>
        <v/>
      </c>
      <c r="B54" s="72"/>
      <c r="C54" s="72"/>
      <c r="D54" s="72"/>
      <c r="E54" s="72"/>
      <c r="F54" s="96"/>
      <c r="G54" s="72"/>
      <c r="H54" s="198"/>
      <c r="I54" s="72"/>
      <c r="J54" s="72"/>
      <c r="K54" s="72"/>
      <c r="L54" s="69" t="str">
        <f t="shared" si="3"/>
        <v/>
      </c>
    </row>
    <row r="55" spans="1:12" ht="15" customHeight="1" x14ac:dyDescent="0.25">
      <c r="A55" s="95" t="str">
        <f>IF(C55="","",TEXT(COUNTA($C$44:C55),"000"))</f>
        <v/>
      </c>
      <c r="B55" s="72"/>
      <c r="C55" s="72"/>
      <c r="D55" s="72"/>
      <c r="E55" s="72"/>
      <c r="F55" s="96"/>
      <c r="G55" s="72"/>
      <c r="H55" s="198"/>
      <c r="I55" s="72"/>
      <c r="J55" s="72"/>
      <c r="K55" s="72"/>
      <c r="L55" s="69" t="str">
        <f t="shared" si="3"/>
        <v/>
      </c>
    </row>
    <row r="56" spans="1:12" ht="15" customHeight="1" x14ac:dyDescent="0.25">
      <c r="A56" s="95" t="str">
        <f>IF(C56="","",TEXT(COUNTA($C$44:C56),"000"))</f>
        <v/>
      </c>
      <c r="B56" s="72"/>
      <c r="C56" s="72"/>
      <c r="D56" s="72"/>
      <c r="E56" s="72"/>
      <c r="F56" s="96"/>
      <c r="G56" s="72"/>
      <c r="H56" s="198"/>
      <c r="I56" s="72"/>
      <c r="J56" s="72"/>
      <c r="K56" s="72"/>
      <c r="L56" s="69" t="str">
        <f t="shared" si="3"/>
        <v/>
      </c>
    </row>
    <row r="57" spans="1:12" ht="15" customHeight="1" x14ac:dyDescent="0.25">
      <c r="A57" s="95" t="str">
        <f>IF(C57="","",TEXT(COUNTA($C$44:C57),"000"))</f>
        <v/>
      </c>
      <c r="B57" s="72"/>
      <c r="C57" s="72"/>
      <c r="D57" s="72"/>
      <c r="E57" s="72"/>
      <c r="F57" s="96"/>
      <c r="G57" s="72"/>
      <c r="H57" s="198"/>
      <c r="I57" s="72"/>
      <c r="J57" s="72"/>
      <c r="K57" s="72"/>
      <c r="L57" s="69" t="str">
        <f t="shared" si="3"/>
        <v/>
      </c>
    </row>
    <row r="58" spans="1:12" ht="15" customHeight="1" x14ac:dyDescent="0.25">
      <c r="A58" s="95" t="str">
        <f>IF(C58="","",TEXT(COUNTA($C$44:C58),"000"))</f>
        <v/>
      </c>
      <c r="B58" s="72"/>
      <c r="C58" s="72"/>
      <c r="D58" s="72"/>
      <c r="E58" s="72"/>
      <c r="F58" s="96"/>
      <c r="G58" s="72"/>
      <c r="H58" s="198"/>
      <c r="I58" s="72"/>
      <c r="J58" s="72"/>
      <c r="K58" s="72"/>
      <c r="L58" s="69" t="str">
        <f t="shared" si="3"/>
        <v/>
      </c>
    </row>
    <row r="59" spans="1:12" ht="15" customHeight="1" x14ac:dyDescent="0.25"/>
    <row r="60" spans="1:12" ht="15" customHeight="1" x14ac:dyDescent="0.25">
      <c r="A60" s="97" t="s">
        <v>193</v>
      </c>
      <c r="B60" s="97"/>
      <c r="C60" s="97" t="str">
        <f>COUNTA(C44:C58)&amp;" registos"</f>
        <v>1 registos</v>
      </c>
      <c r="D60" s="97"/>
      <c r="E60" s="97"/>
      <c r="F60" s="98">
        <f>SUM(F44:F58)</f>
        <v>2000</v>
      </c>
      <c r="G60" s="97"/>
      <c r="H60" s="97"/>
      <c r="I60" s="97"/>
      <c r="J60" s="97"/>
      <c r="K60" s="98">
        <f>SUMIF(G44:G58,"Sim",F44:F58)</f>
        <v>0</v>
      </c>
      <c r="L60" s="98">
        <f>F60-K60</f>
        <v>2000</v>
      </c>
    </row>
    <row r="61" spans="1:12" ht="15" customHeight="1" x14ac:dyDescent="0.25"/>
    <row r="62" spans="1:12" ht="15" customHeight="1" x14ac:dyDescent="0.25">
      <c r="A62" s="263" t="s">
        <v>194</v>
      </c>
      <c r="B62" s="264"/>
      <c r="F62" s="99">
        <f>D35+F60</f>
        <v>2000</v>
      </c>
      <c r="K62" s="99">
        <f>K35+K60</f>
        <v>0</v>
      </c>
      <c r="L62" s="99">
        <f>L35+L60</f>
        <v>2000</v>
      </c>
    </row>
    <row r="63" spans="1:12" ht="15" customHeight="1" x14ac:dyDescent="0.25"/>
    <row r="64" spans="1:12" ht="48" customHeight="1" x14ac:dyDescent="0.25">
      <c r="A64" s="265" t="s">
        <v>195</v>
      </c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</row>
    <row r="65" spans="1:1" ht="15" customHeight="1" x14ac:dyDescent="0.25"/>
    <row r="66" spans="1:1" ht="15" customHeight="1" x14ac:dyDescent="0.25">
      <c r="A66" s="100" t="s">
        <v>196</v>
      </c>
    </row>
    <row r="67" spans="1:1" ht="15" customHeight="1" x14ac:dyDescent="0.25"/>
    <row r="68" spans="1:1" ht="15" customHeight="1" x14ac:dyDescent="0.25"/>
    <row r="69" spans="1:1" ht="15" customHeight="1" x14ac:dyDescent="0.25"/>
    <row r="70" spans="1:1" ht="15" customHeight="1" x14ac:dyDescent="0.25"/>
    <row r="71" spans="1:1" ht="15" customHeight="1" x14ac:dyDescent="0.25"/>
    <row r="72" spans="1:1" ht="15" customHeight="1" x14ac:dyDescent="0.25"/>
    <row r="73" spans="1:1" ht="15" customHeight="1" x14ac:dyDescent="0.25"/>
    <row r="74" spans="1:1" ht="15" customHeight="1" x14ac:dyDescent="0.25"/>
  </sheetData>
  <mergeCells count="10">
    <mergeCell ref="A62:B62"/>
    <mergeCell ref="A2:L2"/>
    <mergeCell ref="A64:L64"/>
    <mergeCell ref="A41:L41"/>
    <mergeCell ref="A19:L19"/>
    <mergeCell ref="A1:L1"/>
    <mergeCell ref="A37:L37"/>
    <mergeCell ref="A5:L5"/>
    <mergeCell ref="A28:L28"/>
    <mergeCell ref="A40:L40"/>
  </mergeCells>
  <dataValidations count="4">
    <dataValidation type="list" allowBlank="1" errorTitle="Entrada inválida" error="Selecione Sim ou Não" sqref="E6:E16 E21:E25 E30:E32" xr:uid="{00000000-0002-0000-0500-000000000000}">
      <formula1>"Sim,Não"</formula1>
      <formula2>0</formula2>
    </dataValidation>
    <dataValidation type="list" allowBlank="1" sqref="G44:G60" xr:uid="{00000000-0002-0000-0500-000001000000}">
      <formula1>"Sim,Não"</formula1>
      <formula2>0</formula2>
    </dataValidation>
    <dataValidation type="list" allowBlank="1" sqref="D44:D60" xr:uid="{00000000-0002-0000-0500-000002000000}">
      <formula1>"Professor,Administração,Pessoal Geral,Outro"</formula1>
      <formula2>0</formula2>
    </dataValidation>
    <dataValidation type="list" allowBlank="1" sqref="I44:I60" xr:uid="{00000000-0002-0000-0500-000003000000}">
      <formula1>"Dinheiro,Transferência,Cartão Multicaixa,Desconto em Salário,Outro"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09"/>
  <sheetViews>
    <sheetView topLeftCell="A46" zoomScaleNormal="100" workbookViewId="0">
      <selection activeCell="E59" sqref="E59"/>
    </sheetView>
  </sheetViews>
  <sheetFormatPr defaultColWidth="8.5703125" defaultRowHeight="15" x14ac:dyDescent="0.25"/>
  <cols>
    <col min="1" max="1" width="11" style="188" customWidth="1"/>
    <col min="2" max="2" width="24.5703125" style="188" customWidth="1"/>
    <col min="3" max="3" width="15.7109375" style="188" customWidth="1"/>
    <col min="4" max="4" width="49" style="188" customWidth="1"/>
    <col min="5" max="5" width="12" style="188" customWidth="1"/>
    <col min="6" max="6" width="15" style="188" customWidth="1"/>
    <col min="7" max="7" width="34" style="188" customWidth="1"/>
    <col min="8" max="8" width="25" style="188" customWidth="1"/>
  </cols>
  <sheetData>
    <row r="1" spans="1:13" ht="17.25" customHeight="1" x14ac:dyDescent="0.25">
      <c r="A1" s="270" t="s">
        <v>197</v>
      </c>
      <c r="B1" s="221"/>
      <c r="C1" s="221"/>
      <c r="D1" s="221"/>
      <c r="E1" s="221"/>
      <c r="F1" s="221"/>
      <c r="G1" s="221"/>
      <c r="H1" s="221"/>
      <c r="I1" s="183"/>
      <c r="J1" s="183"/>
      <c r="K1" s="183"/>
      <c r="L1" s="183"/>
      <c r="M1" s="183"/>
    </row>
    <row r="2" spans="1:13" ht="15" customHeight="1" x14ac:dyDescent="0.25">
      <c r="A2" s="101" t="s">
        <v>198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13" ht="1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" customHeight="1" x14ac:dyDescent="0.25">
      <c r="A4" s="267" t="s">
        <v>199</v>
      </c>
      <c r="B4" s="221"/>
      <c r="C4" s="221"/>
      <c r="D4" s="221"/>
      <c r="E4" s="221"/>
      <c r="F4" s="221"/>
      <c r="G4" s="221"/>
      <c r="H4" s="221"/>
      <c r="I4" s="183"/>
      <c r="J4" s="183"/>
      <c r="K4" s="183"/>
      <c r="L4" s="183"/>
      <c r="M4" s="183"/>
    </row>
    <row r="5" spans="1:13" ht="26.25" customHeight="1" x14ac:dyDescent="0.25">
      <c r="A5" s="200" t="s">
        <v>200</v>
      </c>
      <c r="B5" s="102" t="s">
        <v>201</v>
      </c>
      <c r="C5" s="102" t="s">
        <v>202</v>
      </c>
      <c r="D5" s="102" t="s">
        <v>203</v>
      </c>
      <c r="E5" s="102" t="s">
        <v>204</v>
      </c>
      <c r="F5" s="102" t="s">
        <v>64</v>
      </c>
      <c r="G5" s="102" t="s">
        <v>205</v>
      </c>
      <c r="H5" s="102" t="s">
        <v>206</v>
      </c>
      <c r="I5" s="183"/>
      <c r="J5" s="183"/>
      <c r="K5" s="183"/>
      <c r="L5" s="183"/>
      <c r="M5" s="183"/>
    </row>
    <row r="6" spans="1:13" ht="15" customHeight="1" x14ac:dyDescent="0.25">
      <c r="A6" s="201">
        <f>'Controlo de Propinas'!K4</f>
        <v>0</v>
      </c>
      <c r="B6" s="103">
        <v>41</v>
      </c>
      <c r="C6" s="103">
        <v>81</v>
      </c>
      <c r="D6" s="104" t="str">
        <f>"Inscricao - "&amp;'Controlo de Propinas'!B4</f>
        <v xml:space="preserve">Inscricao - </v>
      </c>
      <c r="E6" s="105">
        <f>'Controlo de Propinas'!N4</f>
        <v>0</v>
      </c>
      <c r="F6" s="106" t="str">
        <f>'Controlo de Propinas'!A4</f>
        <v>▶ MATERNELLE</v>
      </c>
      <c r="G6" s="104">
        <f>'Controlo de Propinas'!B4</f>
        <v>0</v>
      </c>
      <c r="H6" s="104" t="s">
        <v>207</v>
      </c>
      <c r="I6" s="183"/>
      <c r="J6" s="183"/>
      <c r="K6" s="183"/>
      <c r="L6" s="183"/>
      <c r="M6" s="183"/>
    </row>
    <row r="7" spans="1:13" ht="15" customHeight="1" x14ac:dyDescent="0.25">
      <c r="A7" s="202" t="str">
        <f>'Controlo de Propinas'!K5</f>
        <v>Data Pag.</v>
      </c>
      <c r="B7" s="107">
        <v>41</v>
      </c>
      <c r="C7" s="107">
        <v>81</v>
      </c>
      <c r="D7" s="108" t="str">
        <f>"Inscricao - "&amp;'Controlo de Propinas'!B5</f>
        <v>Inscricao - Nome Aluno</v>
      </c>
      <c r="E7" s="109" t="str">
        <f>'Controlo de Propinas'!N5</f>
        <v>Valor c/ Desc.</v>
      </c>
      <c r="F7" s="110" t="str">
        <f>'Controlo de Propinas'!A5</f>
        <v>ID</v>
      </c>
      <c r="G7" s="108" t="str">
        <f>'Controlo de Propinas'!B5</f>
        <v>Nome Aluno</v>
      </c>
      <c r="H7" s="108" t="s">
        <v>207</v>
      </c>
      <c r="I7" s="183"/>
      <c r="J7" s="183"/>
      <c r="K7" s="183"/>
      <c r="L7" s="183"/>
      <c r="M7" s="183"/>
    </row>
    <row r="8" spans="1:13" ht="15" customHeight="1" x14ac:dyDescent="0.25">
      <c r="A8" s="202">
        <f>'Controlo de Propinas'!K6</f>
        <v>46229</v>
      </c>
      <c r="B8" s="107">
        <v>41</v>
      </c>
      <c r="C8" s="107">
        <v>81</v>
      </c>
      <c r="D8" s="108" t="str">
        <f>"Inscricao - "&amp;'Controlo de Propinas'!B6</f>
        <v>Inscricao - Hazail Epandi Calei da Costa</v>
      </c>
      <c r="E8" s="109">
        <f>'Controlo de Propinas'!N6</f>
        <v>162000</v>
      </c>
      <c r="F8" s="107" t="str">
        <f>'Controlo de Propinas'!A6</f>
        <v>P1-01</v>
      </c>
      <c r="G8" s="108" t="str">
        <f>'Controlo de Propinas'!B6</f>
        <v>Hazail Epandi Calei da Costa</v>
      </c>
      <c r="H8" s="108" t="s">
        <v>207</v>
      </c>
      <c r="I8" s="183"/>
      <c r="J8" s="183"/>
      <c r="K8" s="183"/>
      <c r="L8" s="183"/>
      <c r="M8" s="183"/>
    </row>
    <row r="9" spans="1:13" ht="15" customHeight="1" x14ac:dyDescent="0.25">
      <c r="A9" s="202">
        <f>'Controlo de Propinas'!K7</f>
        <v>46235</v>
      </c>
      <c r="B9" s="107">
        <v>41</v>
      </c>
      <c r="C9" s="107">
        <v>81</v>
      </c>
      <c r="D9" s="108" t="str">
        <f>"Inscricao - "&amp;'Controlo de Propinas'!B7</f>
        <v>Inscricao - Erick Libânio Sebastião da Silva</v>
      </c>
      <c r="E9" s="109">
        <f>'Controlo de Propinas'!N7</f>
        <v>180000</v>
      </c>
      <c r="F9" s="107" t="str">
        <f>'Controlo de Propinas'!A7</f>
        <v>P1-02</v>
      </c>
      <c r="G9" s="108" t="str">
        <f>'Controlo de Propinas'!B7</f>
        <v>Erick Libânio Sebastião da Silva</v>
      </c>
      <c r="H9" s="108" t="s">
        <v>207</v>
      </c>
      <c r="I9" s="183"/>
      <c r="J9" s="183"/>
      <c r="K9" s="183"/>
      <c r="L9" s="183"/>
      <c r="M9" s="183"/>
    </row>
    <row r="10" spans="1:13" ht="15" customHeight="1" x14ac:dyDescent="0.25">
      <c r="A10" s="202">
        <f>'Controlo de Propinas'!K8</f>
        <v>46235</v>
      </c>
      <c r="B10" s="107">
        <v>41</v>
      </c>
      <c r="C10" s="107">
        <v>81</v>
      </c>
      <c r="D10" s="108" t="str">
        <f>"Inscricao - "&amp;'Controlo de Propinas'!B8</f>
        <v>Inscricao - Eloa Marina Sebastião da Silva</v>
      </c>
      <c r="E10" s="109">
        <f>'Controlo de Propinas'!N8</f>
        <v>180000</v>
      </c>
      <c r="F10" s="107" t="str">
        <f>'Controlo de Propinas'!A8</f>
        <v>P2-03</v>
      </c>
      <c r="G10" s="108" t="str">
        <f>'Controlo de Propinas'!B8</f>
        <v>Eloa Marina Sebastião da Silva</v>
      </c>
      <c r="H10" s="108" t="s">
        <v>207</v>
      </c>
      <c r="I10" s="183"/>
      <c r="J10" s="183"/>
      <c r="K10" s="183"/>
      <c r="L10" s="183"/>
      <c r="M10" s="183"/>
    </row>
    <row r="11" spans="1:13" ht="15" customHeight="1" x14ac:dyDescent="0.25">
      <c r="A11" s="201">
        <f>'Controlo de Propinas'!K9</f>
        <v>46240</v>
      </c>
      <c r="B11" s="103">
        <v>41</v>
      </c>
      <c r="C11" s="103">
        <v>81</v>
      </c>
      <c r="D11" s="104" t="str">
        <f>"Inscricao - "&amp;'Controlo de Propinas'!B9</f>
        <v>Inscricao - Ivander Trindade Bernardo Clementino</v>
      </c>
      <c r="E11" s="105">
        <f>'Controlo de Propinas'!N9</f>
        <v>180000</v>
      </c>
      <c r="F11" s="103" t="str">
        <f>'Controlo de Propinas'!A9</f>
        <v>P2-04</v>
      </c>
      <c r="G11" s="104" t="str">
        <f>'Controlo de Propinas'!B9</f>
        <v>Ivander Trindade Bernardo Clementino</v>
      </c>
      <c r="H11" s="104" t="s">
        <v>207</v>
      </c>
      <c r="I11" s="183"/>
      <c r="J11" s="183"/>
      <c r="K11" s="183"/>
      <c r="L11" s="183"/>
      <c r="M11" s="183"/>
    </row>
    <row r="12" spans="1:13" ht="15" customHeight="1" x14ac:dyDescent="0.25">
      <c r="A12" s="202">
        <f>'Controlo de Propinas'!K10</f>
        <v>46237</v>
      </c>
      <c r="B12" s="107">
        <v>41</v>
      </c>
      <c r="C12" s="107">
        <v>81</v>
      </c>
      <c r="D12" s="108" t="str">
        <f>"Inscricao - "&amp;'Controlo de Propinas'!B10</f>
        <v>Inscricao - Gael Hanji Ventura Quimbundo</v>
      </c>
      <c r="E12" s="109">
        <f>'Controlo de Propinas'!N10</f>
        <v>180000</v>
      </c>
      <c r="F12" s="107" t="str">
        <f>'Controlo de Propinas'!A10</f>
        <v>P3-05</v>
      </c>
      <c r="G12" s="108" t="str">
        <f>'Controlo de Propinas'!B10</f>
        <v>Gael Hanji Ventura Quimbundo</v>
      </c>
      <c r="H12" s="108" t="s">
        <v>207</v>
      </c>
      <c r="I12" s="183"/>
      <c r="J12" s="183"/>
      <c r="K12" s="183"/>
      <c r="L12" s="183"/>
      <c r="M12" s="183"/>
    </row>
    <row r="13" spans="1:13" ht="15" customHeight="1" x14ac:dyDescent="0.25">
      <c r="A13" s="202">
        <f>'Controlo de Propinas'!K11</f>
        <v>46240</v>
      </c>
      <c r="B13" s="107">
        <v>41</v>
      </c>
      <c r="C13" s="107">
        <v>81</v>
      </c>
      <c r="D13" s="108" t="str">
        <f>"Inscricao - "&amp;'Controlo de Propinas'!B11</f>
        <v>Inscricao - Ivanna Chayane Bernardo Clementino</v>
      </c>
      <c r="E13" s="109">
        <f>'Controlo de Propinas'!N11</f>
        <v>180000</v>
      </c>
      <c r="F13" s="110" t="str">
        <f>'Controlo de Propinas'!A11</f>
        <v>P3-06</v>
      </c>
      <c r="G13" s="108" t="str">
        <f>'Controlo de Propinas'!B11</f>
        <v>Ivanna Chayane Bernardo Clementino</v>
      </c>
      <c r="H13" s="108" t="s">
        <v>207</v>
      </c>
      <c r="I13" s="183"/>
      <c r="J13" s="183"/>
      <c r="K13" s="183"/>
      <c r="L13" s="183"/>
      <c r="M13" s="183"/>
    </row>
    <row r="14" spans="1:13" ht="15" customHeight="1" x14ac:dyDescent="0.25">
      <c r="A14" s="202">
        <f>'Controlo de Propinas'!K12</f>
        <v>46232</v>
      </c>
      <c r="B14" s="107">
        <v>41</v>
      </c>
      <c r="C14" s="107">
        <v>81</v>
      </c>
      <c r="D14" s="108" t="str">
        <f>"Inscricao - "&amp;'Controlo de Propinas'!B12</f>
        <v>Inscricao - Wendy Aryanne Chimuco Sabino</v>
      </c>
      <c r="E14" s="109">
        <f>'Controlo de Propinas'!N12</f>
        <v>350000</v>
      </c>
      <c r="F14" s="110" t="str">
        <f>'Controlo de Propinas'!A12</f>
        <v>P3-07</v>
      </c>
      <c r="G14" s="108" t="str">
        <f>'Controlo de Propinas'!B12</f>
        <v>Wendy Aryanne Chimuco Sabino</v>
      </c>
      <c r="H14" s="108" t="s">
        <v>207</v>
      </c>
      <c r="I14" s="183"/>
      <c r="J14" s="183"/>
      <c r="K14" s="183"/>
      <c r="L14" s="183"/>
      <c r="M14" s="183"/>
    </row>
    <row r="15" spans="1:13" ht="15" customHeight="1" x14ac:dyDescent="0.25">
      <c r="A15" s="202">
        <f>'Controlo de Propinas'!K13</f>
        <v>46255</v>
      </c>
      <c r="B15" s="107">
        <v>41</v>
      </c>
      <c r="C15" s="107">
        <v>81</v>
      </c>
      <c r="D15" s="108" t="str">
        <f>"Inscricao - "&amp;'Controlo de Propinas'!B13</f>
        <v>Inscricao - Kesane Aimé Teixeira Correia de Azevedo</v>
      </c>
      <c r="E15" s="109">
        <f>'Controlo de Propinas'!N13</f>
        <v>150000</v>
      </c>
      <c r="F15" s="107" t="str">
        <f>'Controlo de Propinas'!A13</f>
        <v>P1-08</v>
      </c>
      <c r="G15" s="108" t="str">
        <f>'Controlo de Propinas'!B13</f>
        <v>Kesane Aimé Teixeira Correia de Azevedo</v>
      </c>
      <c r="H15" s="108" t="s">
        <v>207</v>
      </c>
      <c r="I15" s="183"/>
      <c r="J15" s="183"/>
      <c r="K15" s="183"/>
      <c r="L15" s="183"/>
      <c r="M15" s="183"/>
    </row>
    <row r="16" spans="1:13" ht="15" customHeight="1" x14ac:dyDescent="0.25">
      <c r="A16" s="202">
        <f>'Controlo de Propinas'!K14</f>
        <v>46245</v>
      </c>
      <c r="B16" s="107">
        <v>41</v>
      </c>
      <c r="C16" s="107">
        <v>81</v>
      </c>
      <c r="D16" s="108" t="str">
        <f>"Inscricao - "&amp;'Controlo de Propinas'!B14</f>
        <v>Inscricao - Kuami Hazael Francisco Venâncio</v>
      </c>
      <c r="E16" s="109">
        <f>'Controlo de Propinas'!N14</f>
        <v>150000</v>
      </c>
      <c r="F16" s="107" t="str">
        <f>'Controlo de Propinas'!A14</f>
        <v>P3-09</v>
      </c>
      <c r="G16" s="108" t="str">
        <f>'Controlo de Propinas'!B14</f>
        <v>Kuami Hazael Francisco Venâncio</v>
      </c>
      <c r="H16" s="108" t="s">
        <v>207</v>
      </c>
      <c r="I16" s="183"/>
      <c r="J16" s="183"/>
      <c r="K16" s="183"/>
      <c r="L16" s="183"/>
      <c r="M16" s="183"/>
    </row>
    <row r="17" spans="1:13" ht="15" customHeight="1" x14ac:dyDescent="0.25">
      <c r="A17" s="202">
        <f>'Controlo de Propinas'!K15</f>
        <v>0</v>
      </c>
      <c r="B17" s="107">
        <v>41</v>
      </c>
      <c r="C17" s="107">
        <v>81</v>
      </c>
      <c r="D17" s="108" t="str">
        <f>"Inscricao - "&amp;'Controlo de Propinas'!B15</f>
        <v xml:space="preserve">Inscricao - </v>
      </c>
      <c r="E17" s="109" t="str">
        <f>'Controlo de Propinas'!N15</f>
        <v/>
      </c>
      <c r="F17" s="107">
        <f>'Controlo de Propinas'!A15</f>
        <v>0</v>
      </c>
      <c r="G17" s="108">
        <f>'Controlo de Propinas'!B15</f>
        <v>0</v>
      </c>
      <c r="H17" s="108" t="s">
        <v>207</v>
      </c>
      <c r="I17" s="183"/>
      <c r="J17" s="183"/>
      <c r="K17" s="183"/>
      <c r="L17" s="183"/>
      <c r="M17" s="183"/>
    </row>
    <row r="18" spans="1:13" ht="15" customHeight="1" x14ac:dyDescent="0.25">
      <c r="A18" s="202">
        <f>'Controlo de Propinas'!K16</f>
        <v>0</v>
      </c>
      <c r="B18" s="107">
        <v>41</v>
      </c>
      <c r="C18" s="107">
        <v>81</v>
      </c>
      <c r="D18" s="108" t="str">
        <f>"Inscricao - "&amp;'Controlo de Propinas'!B16</f>
        <v xml:space="preserve">Inscricao - </v>
      </c>
      <c r="E18" s="109" t="str">
        <f>'Controlo de Propinas'!N16</f>
        <v/>
      </c>
      <c r="F18" s="107">
        <f>'Controlo de Propinas'!A16</f>
        <v>0</v>
      </c>
      <c r="G18" s="108">
        <f>'Controlo de Propinas'!B16</f>
        <v>0</v>
      </c>
      <c r="H18" s="108" t="s">
        <v>207</v>
      </c>
      <c r="I18" s="183"/>
      <c r="J18" s="183"/>
      <c r="K18" s="183"/>
      <c r="L18" s="183"/>
      <c r="M18" s="183"/>
    </row>
    <row r="19" spans="1:13" ht="15" customHeight="1" x14ac:dyDescent="0.25">
      <c r="A19" s="202">
        <f>'Controlo de Propinas'!K17</f>
        <v>0</v>
      </c>
      <c r="B19" s="107">
        <v>41</v>
      </c>
      <c r="C19" s="107">
        <v>81</v>
      </c>
      <c r="D19" s="108" t="str">
        <f>"Inscricao - "&amp;'Controlo de Propinas'!B17</f>
        <v xml:space="preserve">Inscricao - </v>
      </c>
      <c r="E19" s="109" t="str">
        <f>'Controlo de Propinas'!N17</f>
        <v/>
      </c>
      <c r="F19" s="107">
        <f>'Controlo de Propinas'!A17</f>
        <v>0</v>
      </c>
      <c r="G19" s="108">
        <f>'Controlo de Propinas'!B17</f>
        <v>0</v>
      </c>
      <c r="H19" s="108" t="s">
        <v>207</v>
      </c>
      <c r="I19" s="183"/>
      <c r="J19" s="183"/>
      <c r="K19" s="183"/>
      <c r="L19" s="183"/>
      <c r="M19" s="183"/>
    </row>
    <row r="20" spans="1:13" ht="15" customHeight="1" x14ac:dyDescent="0.25">
      <c r="A20" s="203"/>
      <c r="B20" s="111"/>
      <c r="C20" s="111"/>
      <c r="D20" s="112"/>
      <c r="E20" s="113"/>
      <c r="F20" s="114"/>
      <c r="G20" s="112"/>
      <c r="H20" s="115"/>
      <c r="I20" s="183"/>
      <c r="J20" s="183"/>
      <c r="K20" s="183"/>
      <c r="L20" s="183"/>
      <c r="M20" s="183"/>
    </row>
    <row r="21" spans="1:13" ht="15" customHeight="1" x14ac:dyDescent="0.25">
      <c r="A21" s="116"/>
      <c r="B21" s="116"/>
      <c r="C21" s="116"/>
      <c r="D21" s="117" t="s">
        <v>208</v>
      </c>
      <c r="E21" s="118">
        <f>SUM(E6:E19)</f>
        <v>1712000</v>
      </c>
      <c r="F21" s="116"/>
      <c r="G21" s="116"/>
      <c r="H21" s="116"/>
      <c r="I21" s="183"/>
      <c r="J21" s="183"/>
      <c r="K21" s="183"/>
      <c r="L21" s="183"/>
      <c r="M21" s="183"/>
    </row>
    <row r="22" spans="1:13" ht="15" customHeight="1" x14ac:dyDescent="0.25">
      <c r="A22" s="204"/>
      <c r="B22" s="183"/>
      <c r="C22" s="183"/>
      <c r="D22" s="183"/>
      <c r="E22" s="1"/>
      <c r="F22" s="183"/>
      <c r="G22" s="183"/>
      <c r="H22" s="183"/>
      <c r="I22" s="183"/>
      <c r="J22" s="183"/>
      <c r="K22" s="183"/>
      <c r="L22" s="183"/>
      <c r="M22" s="183"/>
    </row>
    <row r="23" spans="1:13" ht="26.25" customHeight="1" x14ac:dyDescent="0.25">
      <c r="A23" s="271" t="s">
        <v>209</v>
      </c>
      <c r="B23" s="221"/>
      <c r="C23" s="221"/>
      <c r="D23" s="221"/>
      <c r="E23" s="221"/>
      <c r="F23" s="221"/>
      <c r="G23" s="221"/>
      <c r="H23" s="221"/>
      <c r="I23" s="183"/>
      <c r="J23" s="183"/>
      <c r="K23" s="183"/>
      <c r="L23" s="183"/>
      <c r="M23" s="183"/>
    </row>
    <row r="24" spans="1:13" ht="15" customHeight="1" x14ac:dyDescent="0.25">
      <c r="A24" s="205" t="s">
        <v>200</v>
      </c>
      <c r="B24" s="102" t="s">
        <v>201</v>
      </c>
      <c r="C24" s="102" t="s">
        <v>202</v>
      </c>
      <c r="D24" s="102" t="s">
        <v>203</v>
      </c>
      <c r="E24" s="119" t="s">
        <v>204</v>
      </c>
      <c r="F24" s="102" t="s">
        <v>64</v>
      </c>
      <c r="G24" s="102" t="s">
        <v>205</v>
      </c>
      <c r="H24" s="102" t="s">
        <v>206</v>
      </c>
      <c r="I24" s="183"/>
      <c r="J24" s="183"/>
      <c r="K24" s="183"/>
      <c r="L24" s="183"/>
      <c r="M24" s="183"/>
    </row>
    <row r="25" spans="1:13" ht="15" customHeight="1" x14ac:dyDescent="0.25">
      <c r="A25" s="206">
        <v>46270</v>
      </c>
      <c r="B25" s="111">
        <v>41</v>
      </c>
      <c r="C25" s="111">
        <v>81</v>
      </c>
      <c r="D25" s="112" t="str">
        <f>"Propina - "&amp;Mensalidades!B6&amp;" Set/26"</f>
        <v>Propina - Hazail Epandi Calei da Costa Set/26</v>
      </c>
      <c r="E25" s="120" t="str">
        <f>IF(Mensalidades!E6&gt;0,Mensalidades!E6,"")</f>
        <v/>
      </c>
      <c r="F25" s="114" t="str">
        <f>Mensalidades!A6</f>
        <v>P1-01</v>
      </c>
      <c r="G25" s="112" t="str">
        <f>Mensalidades!B6</f>
        <v>Hazail Epandi Calei da Costa</v>
      </c>
      <c r="H25" s="115" t="s">
        <v>126</v>
      </c>
      <c r="I25" s="183"/>
      <c r="J25" s="183"/>
      <c r="K25" s="183"/>
      <c r="L25" s="183"/>
      <c r="M25" s="183"/>
    </row>
    <row r="26" spans="1:13" ht="15" customHeight="1" x14ac:dyDescent="0.25">
      <c r="A26" s="206">
        <v>46270</v>
      </c>
      <c r="B26" s="111">
        <v>41</v>
      </c>
      <c r="C26" s="111">
        <v>81</v>
      </c>
      <c r="D26" s="112" t="str">
        <f>"Propina - "&amp;Mensalidades!B7&amp;" Set/26"</f>
        <v>Propina - Erick Libânio Sebastião da Silva Set/26</v>
      </c>
      <c r="E26" s="120" t="str">
        <f>IF(Mensalidades!E7&gt;0,Mensalidades!E7,"")</f>
        <v/>
      </c>
      <c r="F26" s="114" t="str">
        <f>Mensalidades!A7</f>
        <v>P1-02</v>
      </c>
      <c r="G26" s="112" t="str">
        <f>Mensalidades!B7</f>
        <v>Erick Libânio Sebastião da Silva</v>
      </c>
      <c r="H26" s="115" t="s">
        <v>126</v>
      </c>
      <c r="I26" s="183"/>
      <c r="J26" s="183"/>
      <c r="K26" s="183"/>
      <c r="L26" s="183"/>
      <c r="M26" s="183"/>
    </row>
    <row r="27" spans="1:13" ht="15" customHeight="1" x14ac:dyDescent="0.25">
      <c r="A27" s="207">
        <v>46270</v>
      </c>
      <c r="B27" s="121">
        <v>41</v>
      </c>
      <c r="C27" s="121">
        <v>81</v>
      </c>
      <c r="D27" s="122" t="str">
        <f>"Propina - "&amp;Mensalidades!B8&amp;" Set/26"</f>
        <v>Propina - Eloa Marina Sebastião da Silva Set/26</v>
      </c>
      <c r="E27" s="123" t="str">
        <f>IF(Mensalidades!E8&gt;0,Mensalidades!E8,"")</f>
        <v/>
      </c>
      <c r="F27" s="124" t="str">
        <f>Mensalidades!A8</f>
        <v>P2-03</v>
      </c>
      <c r="G27" s="122" t="str">
        <f>Mensalidades!B8</f>
        <v>Eloa Marina Sebastião da Silva</v>
      </c>
      <c r="H27" s="125" t="s">
        <v>126</v>
      </c>
      <c r="I27" s="183"/>
      <c r="J27" s="183"/>
      <c r="K27" s="183"/>
      <c r="L27" s="183"/>
      <c r="M27" s="183"/>
    </row>
    <row r="28" spans="1:13" ht="15" customHeight="1" x14ac:dyDescent="0.25">
      <c r="A28" s="206">
        <v>46270</v>
      </c>
      <c r="B28" s="111">
        <v>41</v>
      </c>
      <c r="C28" s="111">
        <v>81</v>
      </c>
      <c r="D28" s="112" t="str">
        <f>"Propina - "&amp;Mensalidades!B9&amp;" Set/26"</f>
        <v>Propina - Ivander Trindade Bernardo Clementino Set/26</v>
      </c>
      <c r="E28" s="120" t="str">
        <f>IF(Mensalidades!E9&gt;0,Mensalidades!E9,"")</f>
        <v/>
      </c>
      <c r="F28" s="114" t="str">
        <f>Mensalidades!A9</f>
        <v>P2-04</v>
      </c>
      <c r="G28" s="112" t="str">
        <f>Mensalidades!B9</f>
        <v>Ivander Trindade Bernardo Clementino</v>
      </c>
      <c r="H28" s="115" t="s">
        <v>126</v>
      </c>
      <c r="I28" s="183"/>
      <c r="J28" s="183"/>
      <c r="K28" s="183"/>
      <c r="L28" s="183"/>
      <c r="M28" s="183"/>
    </row>
    <row r="29" spans="1:13" ht="15" customHeight="1" x14ac:dyDescent="0.25">
      <c r="A29" s="206">
        <v>46270</v>
      </c>
      <c r="B29" s="111">
        <v>41</v>
      </c>
      <c r="C29" s="111">
        <v>81</v>
      </c>
      <c r="D29" s="112" t="str">
        <f>"Propina - "&amp;Mensalidades!B10&amp;" Set/26"</f>
        <v>Propina - Gael Hanji Ventura Quimbundo Set/26</v>
      </c>
      <c r="E29" s="120" t="str">
        <f>IF(Mensalidades!E10&gt;0,Mensalidades!E10,"")</f>
        <v/>
      </c>
      <c r="F29" s="114" t="str">
        <f>Mensalidades!A10</f>
        <v>P3-05</v>
      </c>
      <c r="G29" s="112" t="str">
        <f>Mensalidades!B10</f>
        <v>Gael Hanji Ventura Quimbundo</v>
      </c>
      <c r="H29" s="115" t="s">
        <v>126</v>
      </c>
      <c r="I29" s="183"/>
      <c r="J29" s="183"/>
      <c r="K29" s="183"/>
      <c r="L29" s="183"/>
      <c r="M29" s="183"/>
    </row>
    <row r="30" spans="1:13" ht="15" customHeight="1" x14ac:dyDescent="0.25">
      <c r="A30" s="206">
        <v>46270</v>
      </c>
      <c r="B30" s="111">
        <v>41</v>
      </c>
      <c r="C30" s="111">
        <v>81</v>
      </c>
      <c r="D30" s="112" t="str">
        <f>"Propina - "&amp;Mensalidades!B11&amp;" Set/26"</f>
        <v>Propina - Ivanna Chayane Bernardo Clementino Set/26</v>
      </c>
      <c r="E30" s="120" t="str">
        <f>IF(Mensalidades!E11&gt;0,Mensalidades!E11,"")</f>
        <v/>
      </c>
      <c r="F30" s="114" t="str">
        <f>Mensalidades!A11</f>
        <v>P3-06</v>
      </c>
      <c r="G30" s="112" t="str">
        <f>Mensalidades!B11</f>
        <v>Ivanna Chayane Bernardo Clementino</v>
      </c>
      <c r="H30" s="115" t="s">
        <v>126</v>
      </c>
      <c r="I30" s="183"/>
      <c r="J30" s="183"/>
      <c r="K30" s="183"/>
      <c r="L30" s="183"/>
      <c r="M30" s="183"/>
    </row>
    <row r="31" spans="1:13" ht="15" customHeight="1" x14ac:dyDescent="0.25">
      <c r="A31" s="206">
        <v>46270</v>
      </c>
      <c r="B31" s="111">
        <v>41</v>
      </c>
      <c r="C31" s="111">
        <v>81</v>
      </c>
      <c r="D31" s="112" t="str">
        <f>"Propina - "&amp;Mensalidades!B12&amp;" Set/26"</f>
        <v>Propina - Wendy Aryanne Chimuco Sabino Set/26</v>
      </c>
      <c r="E31" s="120" t="str">
        <f>IF(Mensalidades!E12&gt;0,Mensalidades!E12,"")</f>
        <v/>
      </c>
      <c r="F31" s="114" t="str">
        <f>Mensalidades!A12</f>
        <v>P3-07</v>
      </c>
      <c r="G31" s="112" t="str">
        <f>Mensalidades!B12</f>
        <v>Wendy Aryanne Chimuco Sabino</v>
      </c>
      <c r="H31" s="115" t="s">
        <v>126</v>
      </c>
      <c r="I31" s="183"/>
      <c r="J31" s="183"/>
      <c r="K31" s="183"/>
      <c r="L31" s="183"/>
      <c r="M31" s="183"/>
    </row>
    <row r="32" spans="1:13" ht="15" customHeight="1" x14ac:dyDescent="0.25">
      <c r="A32" s="206">
        <v>46270</v>
      </c>
      <c r="B32" s="111">
        <v>41</v>
      </c>
      <c r="C32" s="111">
        <v>81</v>
      </c>
      <c r="D32" s="112" t="str">
        <f>"Propina - "&amp;Mensalidades!B19&amp;" Set/26"</f>
        <v>Propina -  Set/26</v>
      </c>
      <c r="E32" s="120" t="str">
        <f>IF(Mensalidades!E19&gt;0,Mensalidades!E19,"")</f>
        <v/>
      </c>
      <c r="F32" s="114" t="str">
        <f>Mensalidades!A19</f>
        <v/>
      </c>
      <c r="G32" s="112" t="str">
        <f>Mensalidades!B19</f>
        <v/>
      </c>
      <c r="H32" s="115" t="s">
        <v>126</v>
      </c>
      <c r="I32" s="183"/>
      <c r="J32" s="183"/>
      <c r="K32" s="183"/>
      <c r="L32" s="183"/>
      <c r="M32" s="183"/>
    </row>
    <row r="33" spans="1:13" ht="15" customHeight="1" x14ac:dyDescent="0.25">
      <c r="A33" s="206">
        <v>46270</v>
      </c>
      <c r="B33" s="111">
        <v>41</v>
      </c>
      <c r="C33" s="111">
        <v>81</v>
      </c>
      <c r="D33" s="112" t="str">
        <f>"Propina - "&amp;Mensalidades!B20&amp;" Set/26"</f>
        <v>Propina -  Set/26</v>
      </c>
      <c r="E33" s="120" t="str">
        <f>IF(Mensalidades!E20&gt;0,Mensalidades!E20,"")</f>
        <v/>
      </c>
      <c r="F33" s="114" t="str">
        <f>Mensalidades!A20</f>
        <v/>
      </c>
      <c r="G33" s="112" t="str">
        <f>Mensalidades!B20</f>
        <v/>
      </c>
      <c r="H33" s="115" t="s">
        <v>126</v>
      </c>
      <c r="I33" s="183"/>
      <c r="J33" s="183"/>
      <c r="K33" s="183"/>
      <c r="L33" s="183"/>
      <c r="M33" s="183"/>
    </row>
    <row r="34" spans="1:13" ht="15" customHeight="1" x14ac:dyDescent="0.25">
      <c r="A34" s="207">
        <v>46270</v>
      </c>
      <c r="B34" s="121">
        <v>41</v>
      </c>
      <c r="C34" s="121">
        <v>81</v>
      </c>
      <c r="D34" s="122" t="str">
        <f>"Propina - "&amp;Mensalidades!B25&amp;" Set/26"</f>
        <v>Propina -  Set/26</v>
      </c>
      <c r="E34" s="123" t="str">
        <f>IF(Mensalidades!E25&gt;0,Mensalidades!E25,"")</f>
        <v/>
      </c>
      <c r="F34" s="124" t="str">
        <f>Mensalidades!A25</f>
        <v/>
      </c>
      <c r="G34" s="126" t="str">
        <f>Mensalidades!B25</f>
        <v/>
      </c>
      <c r="H34" s="125" t="s">
        <v>126</v>
      </c>
      <c r="I34" s="183"/>
      <c r="J34" s="183"/>
      <c r="K34" s="183"/>
      <c r="L34" s="183"/>
      <c r="M34" s="183"/>
    </row>
    <row r="35" spans="1:13" ht="15" customHeight="1" x14ac:dyDescent="0.25">
      <c r="A35" s="207"/>
      <c r="B35" s="121"/>
      <c r="C35" s="121"/>
      <c r="D35" s="122"/>
      <c r="E35" s="123"/>
      <c r="F35" s="124"/>
      <c r="G35" s="122"/>
      <c r="H35" s="125"/>
      <c r="I35" s="183"/>
      <c r="J35" s="183"/>
      <c r="K35" s="183"/>
      <c r="L35" s="183"/>
      <c r="M35" s="183"/>
    </row>
    <row r="36" spans="1:13" ht="15" customHeight="1" x14ac:dyDescent="0.25">
      <c r="A36" s="207"/>
      <c r="B36" s="121"/>
      <c r="C36" s="121"/>
      <c r="D36" s="122"/>
      <c r="E36" s="123"/>
      <c r="F36" s="124"/>
      <c r="G36" s="122"/>
      <c r="H36" s="125"/>
      <c r="I36" s="183"/>
      <c r="J36" s="183"/>
      <c r="K36" s="183"/>
      <c r="L36" s="183"/>
      <c r="M36" s="183"/>
    </row>
    <row r="37" spans="1:13" ht="15" customHeight="1" x14ac:dyDescent="0.25">
      <c r="A37" s="207"/>
      <c r="B37" s="121"/>
      <c r="C37" s="121"/>
      <c r="D37" s="122"/>
      <c r="E37" s="123"/>
      <c r="F37" s="124"/>
      <c r="G37" s="122"/>
      <c r="H37" s="125"/>
      <c r="I37" s="183"/>
      <c r="J37" s="183"/>
      <c r="K37" s="183"/>
      <c r="L37" s="183"/>
      <c r="M37" s="183"/>
    </row>
    <row r="38" spans="1:13" ht="15" customHeight="1" x14ac:dyDescent="0.25">
      <c r="A38" s="207"/>
      <c r="B38" s="121"/>
      <c r="C38" s="121"/>
      <c r="D38" s="122"/>
      <c r="E38" s="123"/>
      <c r="F38" s="124"/>
      <c r="G38" s="122"/>
      <c r="H38" s="125"/>
      <c r="I38" s="183"/>
      <c r="J38" s="183"/>
      <c r="K38" s="183"/>
      <c r="L38" s="183"/>
      <c r="M38" s="183"/>
    </row>
    <row r="39" spans="1:13" ht="15" customHeight="1" x14ac:dyDescent="0.25">
      <c r="A39" s="207"/>
      <c r="B39" s="121"/>
      <c r="C39" s="121"/>
      <c r="D39" s="122"/>
      <c r="E39" s="123"/>
      <c r="F39" s="124"/>
      <c r="G39" s="122"/>
      <c r="H39" s="125"/>
      <c r="I39" s="183"/>
      <c r="J39" s="183"/>
      <c r="K39" s="183"/>
      <c r="L39" s="183"/>
      <c r="M39" s="183"/>
    </row>
    <row r="40" spans="1:13" ht="15" customHeight="1" x14ac:dyDescent="0.25">
      <c r="A40" s="208"/>
      <c r="B40" s="127"/>
      <c r="C40" s="127"/>
      <c r="D40" s="128" t="s">
        <v>210</v>
      </c>
      <c r="E40" s="129">
        <f>SUM(E25:E37)</f>
        <v>0</v>
      </c>
      <c r="F40" s="127"/>
      <c r="G40" s="127"/>
      <c r="H40" s="127"/>
      <c r="I40" s="183"/>
      <c r="J40" s="183"/>
      <c r="K40" s="183"/>
      <c r="L40" s="183"/>
      <c r="M40" s="183"/>
    </row>
    <row r="41" spans="1:13" ht="15" customHeight="1" x14ac:dyDescent="0.25">
      <c r="A41" s="204"/>
      <c r="B41" s="183"/>
      <c r="C41" s="183"/>
      <c r="D41" s="183"/>
      <c r="E41" s="1"/>
      <c r="F41" s="183"/>
      <c r="G41" s="183"/>
      <c r="H41" s="183"/>
      <c r="I41" s="183"/>
      <c r="J41" s="183"/>
      <c r="K41" s="183"/>
      <c r="L41" s="183"/>
      <c r="M41" s="183"/>
    </row>
    <row r="42" spans="1:13" ht="15" customHeight="1" x14ac:dyDescent="0.25">
      <c r="A42" s="183"/>
      <c r="B42" s="183"/>
      <c r="C42" s="183"/>
      <c r="D42" s="191" t="s">
        <v>122</v>
      </c>
      <c r="E42" s="130">
        <f>E21+E40</f>
        <v>1712000</v>
      </c>
      <c r="F42" s="183"/>
      <c r="G42" s="183"/>
      <c r="H42" s="183"/>
      <c r="I42" s="183"/>
      <c r="J42" s="183"/>
      <c r="K42" s="183"/>
      <c r="L42" s="183"/>
      <c r="M42" s="183"/>
    </row>
    <row r="43" spans="1:13" ht="15" customHeight="1" x14ac:dyDescent="0.25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</row>
    <row r="44" spans="1:13" ht="15" customHeight="1" x14ac:dyDescent="0.25">
      <c r="A44" s="269" t="s">
        <v>211</v>
      </c>
      <c r="B44" s="225"/>
      <c r="C44" s="225"/>
      <c r="D44" s="225"/>
      <c r="E44" s="225"/>
      <c r="F44" s="225"/>
      <c r="G44" s="225"/>
      <c r="H44" s="223"/>
      <c r="I44" s="183"/>
      <c r="J44" s="183"/>
      <c r="K44" s="183"/>
      <c r="L44" s="183"/>
      <c r="M44" s="183"/>
    </row>
    <row r="45" spans="1:13" ht="26.25" customHeight="1" x14ac:dyDescent="0.25">
      <c r="A45" s="131" t="s">
        <v>200</v>
      </c>
      <c r="B45" s="131" t="s">
        <v>201</v>
      </c>
      <c r="C45" s="131" t="s">
        <v>202</v>
      </c>
      <c r="D45" s="131" t="s">
        <v>203</v>
      </c>
      <c r="E45" s="131" t="s">
        <v>204</v>
      </c>
      <c r="F45" s="131" t="s">
        <v>206</v>
      </c>
      <c r="G45" s="131" t="s">
        <v>186</v>
      </c>
      <c r="H45" s="131" t="s">
        <v>212</v>
      </c>
      <c r="I45" s="183"/>
      <c r="J45" s="183"/>
      <c r="K45" s="183"/>
      <c r="L45" s="183"/>
      <c r="M45" s="183"/>
    </row>
    <row r="46" spans="1:13" ht="15" customHeight="1" x14ac:dyDescent="0.25">
      <c r="A46" s="209">
        <v>46187</v>
      </c>
      <c r="B46" s="132">
        <v>41</v>
      </c>
      <c r="C46" s="132" t="s">
        <v>213</v>
      </c>
      <c r="D46" s="132" t="s">
        <v>214</v>
      </c>
      <c r="E46" s="133">
        <f>E67</f>
        <v>4988379.88</v>
      </c>
      <c r="F46" s="132" t="s">
        <v>215</v>
      </c>
      <c r="G46" s="132" t="s">
        <v>213</v>
      </c>
      <c r="H46" s="132" t="s">
        <v>216</v>
      </c>
      <c r="I46" s="183"/>
      <c r="J46" s="183"/>
      <c r="K46" s="183"/>
      <c r="L46" s="183"/>
      <c r="M46" s="183"/>
    </row>
    <row r="47" spans="1:13" ht="15" customHeight="1" x14ac:dyDescent="0.25">
      <c r="A47" s="134"/>
      <c r="B47" s="134"/>
      <c r="C47" s="134"/>
      <c r="D47" s="135" t="s">
        <v>217</v>
      </c>
      <c r="E47" s="136">
        <f>E67</f>
        <v>4988379.88</v>
      </c>
      <c r="F47" s="134"/>
      <c r="G47" s="134"/>
      <c r="H47" s="134"/>
      <c r="I47" s="183"/>
      <c r="J47" s="183"/>
      <c r="K47" s="183"/>
      <c r="L47" s="183"/>
      <c r="M47" s="183"/>
    </row>
    <row r="48" spans="1:13" ht="15" customHeight="1" x14ac:dyDescent="0.25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</row>
    <row r="49" spans="1:13" ht="15" customHeight="1" x14ac:dyDescent="0.25">
      <c r="A49" s="268" t="s">
        <v>218</v>
      </c>
      <c r="B49" s="225"/>
      <c r="C49" s="225"/>
      <c r="D49" s="225"/>
      <c r="E49" s="225"/>
      <c r="F49" s="225"/>
      <c r="G49" s="225"/>
      <c r="H49" s="223"/>
      <c r="I49" s="183"/>
      <c r="J49" s="183"/>
      <c r="K49" s="183"/>
      <c r="L49" s="183"/>
      <c r="M49" s="183"/>
    </row>
    <row r="50" spans="1:13" ht="15" customHeight="1" x14ac:dyDescent="0.25">
      <c r="A50" s="131" t="s">
        <v>200</v>
      </c>
      <c r="B50" s="131" t="s">
        <v>201</v>
      </c>
      <c r="C50" s="131" t="s">
        <v>202</v>
      </c>
      <c r="D50" s="131" t="s">
        <v>203</v>
      </c>
      <c r="E50" s="131" t="s">
        <v>204</v>
      </c>
      <c r="F50" s="131" t="s">
        <v>206</v>
      </c>
      <c r="G50" s="131" t="s">
        <v>186</v>
      </c>
      <c r="H50" s="131" t="s">
        <v>212</v>
      </c>
      <c r="I50" s="183"/>
      <c r="J50" s="183"/>
      <c r="K50" s="183"/>
      <c r="L50" s="183"/>
      <c r="M50" s="183"/>
    </row>
    <row r="51" spans="1:13" ht="15" customHeight="1" x14ac:dyDescent="0.25">
      <c r="A51" s="210">
        <v>46218</v>
      </c>
      <c r="B51" s="115" t="s">
        <v>219</v>
      </c>
      <c r="C51" s="111">
        <v>41</v>
      </c>
      <c r="D51" s="115" t="s">
        <v>220</v>
      </c>
      <c r="E51" s="137">
        <v>1093730</v>
      </c>
      <c r="F51" s="111" t="s">
        <v>221</v>
      </c>
      <c r="G51" s="115" t="s">
        <v>219</v>
      </c>
      <c r="H51" s="138" t="s">
        <v>216</v>
      </c>
      <c r="I51" s="183"/>
      <c r="J51" s="183"/>
      <c r="K51" s="183"/>
      <c r="L51" s="183"/>
      <c r="M51" s="183"/>
    </row>
    <row r="52" spans="1:13" ht="15" customHeight="1" x14ac:dyDescent="0.25">
      <c r="A52" s="210">
        <v>46223</v>
      </c>
      <c r="B52" s="115" t="s">
        <v>222</v>
      </c>
      <c r="C52" s="111">
        <v>41</v>
      </c>
      <c r="D52" s="115" t="s">
        <v>223</v>
      </c>
      <c r="E52" s="137">
        <v>1208000</v>
      </c>
      <c r="F52" s="111" t="s">
        <v>221</v>
      </c>
      <c r="G52" s="115" t="s">
        <v>222</v>
      </c>
      <c r="H52" s="138" t="s">
        <v>216</v>
      </c>
      <c r="I52" s="183"/>
      <c r="J52" s="183"/>
      <c r="K52" s="183"/>
      <c r="L52" s="183"/>
      <c r="M52" s="183"/>
    </row>
    <row r="53" spans="1:13" ht="26.25" customHeight="1" x14ac:dyDescent="0.25">
      <c r="A53" s="211">
        <v>46228</v>
      </c>
      <c r="B53" s="125" t="s">
        <v>224</v>
      </c>
      <c r="C53" s="121">
        <v>41</v>
      </c>
      <c r="D53" s="125" t="s">
        <v>225</v>
      </c>
      <c r="E53" s="139">
        <v>592500</v>
      </c>
      <c r="F53" s="121" t="s">
        <v>221</v>
      </c>
      <c r="G53" s="125" t="s">
        <v>224</v>
      </c>
      <c r="H53" s="121" t="s">
        <v>216</v>
      </c>
      <c r="I53" s="183"/>
      <c r="J53" s="183"/>
      <c r="K53" s="183"/>
      <c r="L53" s="183"/>
      <c r="M53" s="183"/>
    </row>
    <row r="54" spans="1:13" ht="15" customHeight="1" x14ac:dyDescent="0.25">
      <c r="A54" s="210">
        <v>46226</v>
      </c>
      <c r="B54" s="115" t="s">
        <v>226</v>
      </c>
      <c r="C54" s="111">
        <v>41</v>
      </c>
      <c r="D54" s="115" t="s">
        <v>227</v>
      </c>
      <c r="E54" s="137">
        <v>45000</v>
      </c>
      <c r="F54" s="111" t="s">
        <v>221</v>
      </c>
      <c r="G54" s="115" t="s">
        <v>226</v>
      </c>
      <c r="H54" s="138" t="s">
        <v>216</v>
      </c>
      <c r="I54" s="183"/>
      <c r="J54" s="183"/>
      <c r="K54" s="183"/>
      <c r="L54" s="183"/>
      <c r="M54" s="183"/>
    </row>
    <row r="55" spans="1:13" ht="15" customHeight="1" x14ac:dyDescent="0.25">
      <c r="A55" s="211">
        <v>46218</v>
      </c>
      <c r="B55" s="125" t="s">
        <v>228</v>
      </c>
      <c r="C55" s="121">
        <v>41</v>
      </c>
      <c r="D55" s="125" t="s">
        <v>229</v>
      </c>
      <c r="E55" s="139">
        <v>200000</v>
      </c>
      <c r="F55" s="121" t="s">
        <v>221</v>
      </c>
      <c r="G55" s="125" t="s">
        <v>228</v>
      </c>
      <c r="H55" s="121" t="s">
        <v>216</v>
      </c>
      <c r="I55" s="183"/>
      <c r="J55" s="183"/>
      <c r="K55" s="183"/>
      <c r="L55" s="183"/>
      <c r="M55" s="183"/>
    </row>
    <row r="56" spans="1:13" ht="15" customHeight="1" x14ac:dyDescent="0.25">
      <c r="A56" s="210">
        <v>46223</v>
      </c>
      <c r="B56" s="115" t="s">
        <v>230</v>
      </c>
      <c r="C56" s="111">
        <v>41</v>
      </c>
      <c r="D56" s="115" t="s">
        <v>231</v>
      </c>
      <c r="E56" s="137">
        <v>285200</v>
      </c>
      <c r="F56" s="111" t="s">
        <v>221</v>
      </c>
      <c r="G56" s="115" t="s">
        <v>230</v>
      </c>
      <c r="H56" s="138" t="s">
        <v>216</v>
      </c>
      <c r="I56" s="183"/>
      <c r="J56" s="183"/>
      <c r="K56" s="183"/>
      <c r="L56" s="183"/>
      <c r="M56" s="183"/>
    </row>
    <row r="57" spans="1:13" ht="26.25" customHeight="1" x14ac:dyDescent="0.25">
      <c r="A57" s="211">
        <v>46228</v>
      </c>
      <c r="B57" s="115" t="s">
        <v>232</v>
      </c>
      <c r="C57" s="111">
        <v>41</v>
      </c>
      <c r="D57" s="115" t="s">
        <v>233</v>
      </c>
      <c r="E57" s="137">
        <v>380566</v>
      </c>
      <c r="F57" s="111" t="s">
        <v>221</v>
      </c>
      <c r="G57" s="115" t="s">
        <v>232</v>
      </c>
      <c r="H57" s="138" t="s">
        <v>216</v>
      </c>
      <c r="I57" s="183"/>
      <c r="J57" s="183"/>
      <c r="K57" s="183"/>
      <c r="L57" s="183"/>
      <c r="M57" s="183"/>
    </row>
    <row r="58" spans="1:13" ht="15" customHeight="1" x14ac:dyDescent="0.25">
      <c r="A58" s="211">
        <v>46223</v>
      </c>
      <c r="B58" s="125" t="s">
        <v>234</v>
      </c>
      <c r="C58" s="121">
        <v>41</v>
      </c>
      <c r="D58" s="125" t="s">
        <v>235</v>
      </c>
      <c r="E58" s="139">
        <v>677289.84</v>
      </c>
      <c r="F58" s="121" t="s">
        <v>221</v>
      </c>
      <c r="G58" s="125" t="s">
        <v>234</v>
      </c>
      <c r="H58" s="121" t="s">
        <v>216</v>
      </c>
      <c r="I58" s="183"/>
      <c r="J58" s="183"/>
      <c r="K58" s="183"/>
      <c r="L58" s="183"/>
      <c r="M58" s="183"/>
    </row>
    <row r="59" spans="1:13" ht="15" customHeight="1" x14ac:dyDescent="0.25">
      <c r="A59" s="210">
        <v>46234</v>
      </c>
      <c r="B59" s="115" t="s">
        <v>236</v>
      </c>
      <c r="C59" s="111">
        <v>41</v>
      </c>
      <c r="D59" s="115" t="s">
        <v>237</v>
      </c>
      <c r="E59" s="137">
        <v>2994</v>
      </c>
      <c r="F59" s="111" t="s">
        <v>221</v>
      </c>
      <c r="G59" s="115" t="s">
        <v>236</v>
      </c>
      <c r="H59" s="138" t="s">
        <v>216</v>
      </c>
      <c r="I59" s="183"/>
      <c r="J59" s="183"/>
      <c r="K59" s="183"/>
      <c r="L59" s="183"/>
      <c r="M59" s="183"/>
    </row>
    <row r="60" spans="1:13" ht="15" customHeight="1" x14ac:dyDescent="0.25">
      <c r="A60" s="210">
        <v>46198</v>
      </c>
      <c r="B60" s="115" t="s">
        <v>238</v>
      </c>
      <c r="C60" s="111">
        <v>41</v>
      </c>
      <c r="D60" s="115" t="s">
        <v>239</v>
      </c>
      <c r="E60" s="137">
        <v>213000.04</v>
      </c>
      <c r="F60" s="111" t="s">
        <v>221</v>
      </c>
      <c r="G60" s="115" t="s">
        <v>238</v>
      </c>
      <c r="H60" s="138" t="s">
        <v>216</v>
      </c>
      <c r="I60" s="183"/>
      <c r="J60" s="183"/>
      <c r="K60" s="183"/>
      <c r="L60" s="183"/>
      <c r="M60" s="183"/>
    </row>
    <row r="61" spans="1:13" ht="26.25" customHeight="1" x14ac:dyDescent="0.25">
      <c r="A61" s="211">
        <v>46226</v>
      </c>
      <c r="B61" s="115" t="s">
        <v>240</v>
      </c>
      <c r="C61" s="111">
        <v>41</v>
      </c>
      <c r="D61" s="115" t="s">
        <v>241</v>
      </c>
      <c r="E61" s="137">
        <v>9000</v>
      </c>
      <c r="F61" s="111" t="s">
        <v>221</v>
      </c>
      <c r="G61" s="115" t="s">
        <v>240</v>
      </c>
      <c r="H61" s="138" t="s">
        <v>216</v>
      </c>
      <c r="I61" s="183"/>
      <c r="J61" s="183"/>
      <c r="K61" s="183"/>
      <c r="L61" s="183"/>
      <c r="M61" s="183"/>
    </row>
    <row r="62" spans="1:13" ht="15" customHeight="1" x14ac:dyDescent="0.25">
      <c r="A62" s="210">
        <v>46223</v>
      </c>
      <c r="B62" s="115" t="s">
        <v>242</v>
      </c>
      <c r="C62" s="111">
        <v>41</v>
      </c>
      <c r="D62" s="115" t="s">
        <v>243</v>
      </c>
      <c r="E62" s="137">
        <v>163100</v>
      </c>
      <c r="F62" s="111" t="s">
        <v>221</v>
      </c>
      <c r="G62" s="115" t="s">
        <v>242</v>
      </c>
      <c r="H62" s="138" t="s">
        <v>216</v>
      </c>
      <c r="I62" s="183"/>
      <c r="J62" s="183"/>
      <c r="K62" s="183"/>
      <c r="L62" s="183"/>
      <c r="M62" s="183"/>
    </row>
    <row r="63" spans="1:13" ht="15" customHeight="1" x14ac:dyDescent="0.25">
      <c r="A63" s="210">
        <v>46240</v>
      </c>
      <c r="B63" s="115" t="s">
        <v>244</v>
      </c>
      <c r="C63" s="111">
        <v>41</v>
      </c>
      <c r="D63" s="115" t="s">
        <v>245</v>
      </c>
      <c r="E63" s="137">
        <v>90000</v>
      </c>
      <c r="F63" s="111" t="s">
        <v>221</v>
      </c>
      <c r="G63" s="115" t="s">
        <v>244</v>
      </c>
      <c r="H63" s="138" t="s">
        <v>216</v>
      </c>
      <c r="I63" s="183"/>
      <c r="J63" s="183"/>
      <c r="K63" s="183"/>
      <c r="L63" s="183"/>
      <c r="M63" s="183"/>
    </row>
    <row r="64" spans="1:13" ht="15" customHeight="1" x14ac:dyDescent="0.25">
      <c r="A64" s="210">
        <v>46247</v>
      </c>
      <c r="B64" s="115" t="s">
        <v>246</v>
      </c>
      <c r="C64" s="111">
        <v>41</v>
      </c>
      <c r="D64" s="115" t="s">
        <v>247</v>
      </c>
      <c r="E64" s="137">
        <v>28000</v>
      </c>
      <c r="F64" s="111" t="s">
        <v>248</v>
      </c>
      <c r="G64" s="115" t="s">
        <v>246</v>
      </c>
      <c r="H64" s="138" t="s">
        <v>216</v>
      </c>
    </row>
    <row r="65" spans="1:13" ht="15" customHeight="1" x14ac:dyDescent="0.25">
      <c r="A65" s="210"/>
      <c r="B65" s="115"/>
      <c r="C65" s="111"/>
      <c r="D65" s="115"/>
      <c r="E65" s="137"/>
      <c r="F65" s="138"/>
      <c r="G65" s="115"/>
      <c r="H65" s="138"/>
      <c r="I65" s="183"/>
      <c r="J65" s="183"/>
      <c r="K65" s="183"/>
      <c r="L65" s="183"/>
      <c r="M65" s="183"/>
    </row>
    <row r="66" spans="1:13" ht="26.25" customHeight="1" x14ac:dyDescent="0.25">
      <c r="A66" s="210"/>
      <c r="B66" s="115"/>
      <c r="C66" s="111"/>
      <c r="D66" s="115"/>
      <c r="E66" s="137"/>
      <c r="F66" s="138"/>
      <c r="G66" s="115"/>
      <c r="H66" s="138"/>
      <c r="I66" s="183"/>
      <c r="J66" s="183"/>
      <c r="K66" s="183"/>
      <c r="L66" s="183"/>
      <c r="M66" s="183"/>
    </row>
    <row r="67" spans="1:13" ht="15" customHeight="1" x14ac:dyDescent="0.25">
      <c r="A67" s="15"/>
      <c r="B67" s="15"/>
      <c r="C67" s="15"/>
      <c r="D67" s="140" t="s">
        <v>249</v>
      </c>
      <c r="E67" s="141">
        <f>SUM(E51:E64)</f>
        <v>4988379.88</v>
      </c>
      <c r="F67" s="15"/>
      <c r="G67" s="15"/>
      <c r="H67" s="15"/>
      <c r="I67" s="183"/>
      <c r="J67" s="183"/>
      <c r="K67" s="183"/>
      <c r="L67" s="183"/>
      <c r="M67" s="183"/>
    </row>
    <row r="68" spans="1:13" ht="15" customHeight="1" x14ac:dyDescent="0.25">
      <c r="A68" s="204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</row>
    <row r="69" spans="1:13" ht="15" customHeight="1" x14ac:dyDescent="0.25">
      <c r="A69" s="21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</row>
    <row r="70" spans="1:13" ht="15" customHeight="1" x14ac:dyDescent="0.25">
      <c r="A70" s="212"/>
      <c r="B70" s="15"/>
      <c r="C70" s="15"/>
      <c r="D70" s="15"/>
      <c r="E70" s="142"/>
      <c r="F70" s="15"/>
      <c r="G70" s="15"/>
      <c r="H70" s="15"/>
      <c r="I70" s="183"/>
      <c r="J70" s="183"/>
      <c r="K70" s="183"/>
      <c r="L70" s="183"/>
      <c r="M70" s="183"/>
    </row>
    <row r="71" spans="1:13" ht="15" customHeight="1" x14ac:dyDescent="0.25">
      <c r="A71" s="204"/>
      <c r="B71" s="183"/>
      <c r="C71" s="183"/>
      <c r="D71" s="183"/>
      <c r="E71" s="1"/>
      <c r="F71" s="183"/>
      <c r="G71" s="183"/>
      <c r="H71" s="183"/>
      <c r="I71" s="183"/>
      <c r="J71" s="183"/>
      <c r="K71" s="183"/>
      <c r="L71" s="183"/>
      <c r="M71" s="183"/>
    </row>
    <row r="72" spans="1:13" ht="26.25" customHeight="1" x14ac:dyDescent="0.25">
      <c r="A72" s="204"/>
      <c r="B72" s="183"/>
      <c r="C72" s="183"/>
      <c r="D72" s="183"/>
      <c r="E72" s="1"/>
      <c r="F72" s="183"/>
      <c r="G72" s="183"/>
      <c r="H72" s="183"/>
      <c r="I72" s="183"/>
      <c r="J72" s="183"/>
      <c r="K72" s="183"/>
      <c r="L72" s="183"/>
      <c r="M72" s="183"/>
    </row>
    <row r="73" spans="1:13" ht="15" customHeight="1" x14ac:dyDescent="0.25">
      <c r="A73" s="212"/>
      <c r="B73" s="183"/>
      <c r="C73" s="183"/>
      <c r="D73" s="183"/>
      <c r="E73" s="1"/>
      <c r="F73" s="183"/>
      <c r="G73" s="183"/>
      <c r="H73" s="183"/>
      <c r="I73" s="183"/>
      <c r="J73" s="183"/>
      <c r="K73" s="183"/>
      <c r="L73" s="183"/>
      <c r="M73" s="183"/>
    </row>
    <row r="74" spans="1:13" ht="15" customHeight="1" x14ac:dyDescent="0.25">
      <c r="A74" s="212"/>
      <c r="B74" s="15"/>
      <c r="C74" s="15"/>
      <c r="D74" s="15"/>
      <c r="E74" s="142"/>
      <c r="F74" s="15"/>
      <c r="G74" s="15"/>
      <c r="H74" s="15"/>
      <c r="I74" s="183"/>
      <c r="J74" s="183"/>
      <c r="K74" s="183"/>
      <c r="L74" s="183"/>
      <c r="M74" s="183"/>
    </row>
    <row r="75" spans="1:13" ht="15" customHeight="1" x14ac:dyDescent="0.25">
      <c r="A75" s="204"/>
      <c r="B75" s="183"/>
      <c r="C75" s="183"/>
      <c r="D75" s="183"/>
      <c r="E75" s="1"/>
      <c r="F75" s="183"/>
      <c r="G75" s="183"/>
      <c r="H75" s="183"/>
      <c r="I75" s="183"/>
      <c r="J75" s="183"/>
      <c r="K75" s="183"/>
      <c r="L75" s="183"/>
      <c r="M75" s="183"/>
    </row>
    <row r="76" spans="1:13" ht="15" customHeight="1" x14ac:dyDescent="0.25">
      <c r="A76" s="204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</row>
    <row r="77" spans="1:13" ht="26.25" customHeight="1" x14ac:dyDescent="0.25">
      <c r="A77" s="15"/>
      <c r="B77" s="15"/>
      <c r="C77" s="15"/>
      <c r="D77" s="15"/>
      <c r="E77" s="142"/>
      <c r="F77" s="15"/>
      <c r="G77" s="15"/>
      <c r="H77" s="15"/>
      <c r="I77" s="183"/>
      <c r="J77" s="183"/>
      <c r="K77" s="183"/>
      <c r="L77" s="183"/>
      <c r="M77" s="183"/>
    </row>
    <row r="78" spans="1:13" ht="15" customHeight="1" x14ac:dyDescent="0.25">
      <c r="A78" s="212"/>
      <c r="B78" s="15"/>
      <c r="C78" s="15"/>
      <c r="D78" s="15"/>
      <c r="E78" s="142"/>
      <c r="F78" s="15"/>
      <c r="G78" s="15"/>
      <c r="H78" s="15"/>
      <c r="I78" s="183"/>
      <c r="J78" s="183"/>
      <c r="K78" s="183"/>
      <c r="L78" s="183"/>
      <c r="M78" s="183"/>
    </row>
    <row r="79" spans="1:13" ht="15" customHeight="1" x14ac:dyDescent="0.25">
      <c r="A79" s="204"/>
      <c r="B79" s="183"/>
      <c r="C79" s="183"/>
      <c r="D79" s="183"/>
      <c r="E79" s="1"/>
      <c r="F79" s="183"/>
      <c r="G79" s="183"/>
      <c r="H79" s="183"/>
      <c r="I79" s="183"/>
      <c r="J79" s="183"/>
      <c r="K79" s="183"/>
      <c r="L79" s="183"/>
      <c r="M79" s="183"/>
    </row>
    <row r="80" spans="1:13" ht="15" customHeight="1" x14ac:dyDescent="0.25">
      <c r="A80" s="15"/>
      <c r="B80" s="15"/>
      <c r="C80" s="15"/>
      <c r="D80" s="15"/>
      <c r="E80" s="142"/>
      <c r="F80" s="15"/>
      <c r="G80" s="15"/>
      <c r="H80" s="15"/>
      <c r="I80" s="183"/>
      <c r="J80" s="183"/>
      <c r="K80" s="183"/>
      <c r="L80" s="183"/>
      <c r="M80" s="183"/>
    </row>
    <row r="81" spans="1:13" ht="15" customHeight="1" x14ac:dyDescent="0.25">
      <c r="A81" s="204"/>
      <c r="B81" s="183"/>
      <c r="C81" s="183"/>
      <c r="D81" s="183"/>
      <c r="E81" s="1"/>
      <c r="F81" s="183"/>
      <c r="G81" s="183"/>
      <c r="H81" s="183"/>
      <c r="I81" s="183"/>
      <c r="J81" s="183"/>
      <c r="K81" s="183"/>
      <c r="L81" s="183"/>
      <c r="M81" s="183"/>
    </row>
    <row r="82" spans="1:13" ht="15" customHeight="1" x14ac:dyDescent="0.25">
      <c r="A82" s="204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</row>
    <row r="83" spans="1:13" ht="15" customHeight="1" x14ac:dyDescent="0.25">
      <c r="A83" s="212"/>
      <c r="B83" s="15"/>
      <c r="C83" s="15"/>
      <c r="D83" s="15"/>
      <c r="E83" s="142"/>
      <c r="F83" s="15"/>
      <c r="G83" s="15"/>
      <c r="H83" s="15"/>
      <c r="I83" s="183"/>
      <c r="J83" s="183"/>
      <c r="K83" s="183"/>
      <c r="L83" s="183"/>
      <c r="M83" s="183"/>
    </row>
    <row r="84" spans="1:13" ht="15" customHeight="1" x14ac:dyDescent="0.25">
      <c r="A84" s="204"/>
      <c r="B84" s="183"/>
      <c r="C84" s="183"/>
      <c r="D84" s="183"/>
      <c r="E84" s="1"/>
      <c r="F84" s="183"/>
      <c r="G84" s="183"/>
      <c r="H84" s="183"/>
      <c r="I84" s="183"/>
      <c r="J84" s="183"/>
      <c r="K84" s="183"/>
      <c r="L84" s="183"/>
      <c r="M84" s="183"/>
    </row>
    <row r="85" spans="1:13" ht="15" customHeight="1" x14ac:dyDescent="0.25">
      <c r="A85" s="183"/>
      <c r="B85" s="183"/>
      <c r="C85" s="183"/>
      <c r="D85" s="183"/>
      <c r="E85" s="1"/>
      <c r="F85" s="183"/>
      <c r="G85" s="183"/>
      <c r="H85" s="183"/>
      <c r="I85" s="183"/>
      <c r="J85" s="183"/>
      <c r="K85" s="183"/>
      <c r="L85" s="183"/>
      <c r="M85" s="183"/>
    </row>
    <row r="86" spans="1:13" ht="15" customHeight="1" x14ac:dyDescent="0.25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</row>
    <row r="87" spans="1:13" ht="15" customHeight="1" x14ac:dyDescent="0.25">
      <c r="A87" s="15"/>
      <c r="B87" s="15"/>
      <c r="C87" s="15"/>
      <c r="D87" s="15"/>
      <c r="E87" s="142"/>
      <c r="F87" s="15"/>
      <c r="G87" s="15"/>
      <c r="H87" s="15"/>
      <c r="I87" s="183"/>
      <c r="J87" s="183"/>
      <c r="K87" s="183"/>
      <c r="L87" s="183"/>
      <c r="M87" s="183"/>
    </row>
    <row r="88" spans="1:13" ht="15" customHeight="1" x14ac:dyDescent="0.25">
      <c r="A88" s="204"/>
      <c r="B88" s="183"/>
      <c r="C88" s="183"/>
      <c r="D88" s="183"/>
      <c r="E88" s="1"/>
      <c r="F88" s="183"/>
      <c r="G88" s="183"/>
      <c r="H88" s="183"/>
      <c r="I88" s="183"/>
      <c r="J88" s="183"/>
      <c r="K88" s="183"/>
      <c r="L88" s="183"/>
      <c r="M88" s="183"/>
    </row>
    <row r="89" spans="1:13" ht="15" customHeight="1" x14ac:dyDescent="0.25">
      <c r="A89" s="204"/>
      <c r="B89" s="183"/>
      <c r="C89" s="183"/>
      <c r="D89" s="183"/>
      <c r="E89" s="1"/>
      <c r="F89" s="183"/>
      <c r="G89" s="183"/>
      <c r="H89" s="183"/>
      <c r="I89" s="183"/>
      <c r="J89" s="183"/>
      <c r="K89" s="183"/>
      <c r="L89" s="183"/>
      <c r="M89" s="183"/>
    </row>
    <row r="90" spans="1:13" ht="15" customHeight="1" x14ac:dyDescent="0.25">
      <c r="A90" s="183"/>
      <c r="B90" s="183"/>
      <c r="C90" s="183"/>
      <c r="D90" s="183"/>
      <c r="E90" s="1"/>
      <c r="F90" s="183"/>
      <c r="G90" s="183"/>
      <c r="H90" s="183"/>
      <c r="I90" s="183"/>
      <c r="J90" s="183"/>
      <c r="K90" s="183"/>
      <c r="L90" s="183"/>
      <c r="M90" s="183"/>
    </row>
    <row r="91" spans="1:13" ht="15" customHeight="1" x14ac:dyDescent="0.25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</row>
    <row r="92" spans="1:13" ht="15" customHeight="1" x14ac:dyDescent="0.25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</row>
    <row r="93" spans="1:13" ht="15" customHeight="1" x14ac:dyDescent="0.25">
      <c r="A93" s="15"/>
      <c r="B93" s="15"/>
      <c r="C93" s="15"/>
      <c r="D93" s="15"/>
      <c r="E93" s="15"/>
      <c r="F93" s="15"/>
      <c r="G93" s="15"/>
      <c r="H93" s="15"/>
      <c r="I93" s="183"/>
      <c r="J93" s="183"/>
      <c r="K93" s="183"/>
      <c r="L93" s="183"/>
      <c r="M93" s="183"/>
    </row>
    <row r="94" spans="1:13" ht="15" customHeight="1" x14ac:dyDescent="0.25">
      <c r="A94" s="204"/>
      <c r="B94" s="183"/>
      <c r="C94" s="183"/>
      <c r="D94" s="183"/>
      <c r="E94" s="1"/>
      <c r="F94" s="183"/>
      <c r="G94" s="183"/>
      <c r="H94" s="183"/>
      <c r="I94" s="183"/>
      <c r="J94" s="183"/>
      <c r="K94" s="183"/>
      <c r="L94" s="183"/>
      <c r="M94" s="183"/>
    </row>
    <row r="95" spans="1:13" ht="15" customHeight="1" x14ac:dyDescent="0.25">
      <c r="A95" s="183"/>
      <c r="B95" s="183"/>
      <c r="C95" s="183"/>
      <c r="D95" s="183"/>
      <c r="E95" s="1"/>
      <c r="F95" s="183"/>
      <c r="G95" s="183"/>
      <c r="H95" s="183"/>
      <c r="I95" s="183"/>
      <c r="J95" s="183"/>
      <c r="K95" s="183"/>
      <c r="L95" s="183"/>
      <c r="M95" s="183"/>
    </row>
    <row r="96" spans="1:13" ht="15" customHeight="1" x14ac:dyDescent="0.25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</row>
    <row r="97" spans="1:13" ht="15" customHeight="1" x14ac:dyDescent="0.25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</row>
    <row r="98" spans="1:13" ht="15" customHeight="1" x14ac:dyDescent="0.25">
      <c r="A98" s="15"/>
      <c r="B98" s="15"/>
      <c r="C98" s="15"/>
      <c r="D98" s="15"/>
      <c r="E98" s="15"/>
      <c r="F98" s="15"/>
      <c r="G98" s="15"/>
      <c r="H98" s="15"/>
      <c r="I98" s="183"/>
      <c r="J98" s="183"/>
      <c r="K98" s="183"/>
      <c r="L98" s="183"/>
      <c r="M98" s="183"/>
    </row>
    <row r="99" spans="1:13" ht="15" customHeight="1" x14ac:dyDescent="0.25">
      <c r="A99" s="204"/>
      <c r="B99" s="183"/>
      <c r="C99" s="183"/>
      <c r="D99" s="183"/>
      <c r="E99" s="1"/>
      <c r="F99" s="183"/>
      <c r="G99" s="183"/>
      <c r="H99" s="183"/>
      <c r="I99" s="183"/>
      <c r="J99" s="183"/>
      <c r="K99" s="183"/>
      <c r="L99" s="183"/>
      <c r="M99" s="183"/>
    </row>
    <row r="100" spans="1:13" ht="15" customHeight="1" x14ac:dyDescent="0.25">
      <c r="A100" s="183"/>
      <c r="B100" s="183"/>
      <c r="C100" s="183"/>
      <c r="D100" s="183"/>
      <c r="E100" s="1"/>
      <c r="F100" s="183"/>
      <c r="G100" s="183"/>
      <c r="H100" s="183"/>
      <c r="I100" s="183"/>
      <c r="J100" s="183"/>
      <c r="K100" s="183"/>
      <c r="L100" s="183"/>
      <c r="M100" s="183"/>
    </row>
    <row r="101" spans="1:13" ht="15" customHeight="1" x14ac:dyDescent="0.25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</row>
    <row r="102" spans="1:13" ht="15" customHeight="1" x14ac:dyDescent="0.25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</row>
    <row r="103" spans="1:13" ht="1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83"/>
      <c r="J103" s="183"/>
      <c r="K103" s="183"/>
      <c r="L103" s="183"/>
      <c r="M103" s="183"/>
    </row>
    <row r="104" spans="1:13" ht="15" customHeight="1" x14ac:dyDescent="0.25">
      <c r="A104" s="204"/>
      <c r="B104" s="183"/>
      <c r="C104" s="183"/>
      <c r="D104" s="183"/>
      <c r="E104" s="1"/>
      <c r="F104" s="183"/>
      <c r="G104" s="183"/>
      <c r="H104" s="183"/>
      <c r="I104" s="183"/>
      <c r="J104" s="183"/>
      <c r="K104" s="183"/>
      <c r="L104" s="183"/>
      <c r="M104" s="183"/>
    </row>
    <row r="105" spans="1:13" ht="15" customHeight="1" x14ac:dyDescent="0.25">
      <c r="A105" s="183"/>
      <c r="B105" s="183"/>
      <c r="C105" s="183"/>
      <c r="D105" s="183"/>
      <c r="E105" s="1"/>
      <c r="F105" s="183"/>
      <c r="G105" s="183"/>
      <c r="H105" s="183"/>
      <c r="I105" s="183"/>
      <c r="J105" s="183"/>
      <c r="K105" s="183"/>
      <c r="L105" s="183"/>
      <c r="M105" s="183"/>
    </row>
    <row r="106" spans="1:13" ht="15" customHeight="1" x14ac:dyDescent="0.25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</row>
    <row r="107" spans="1:13" ht="15" customHeight="1" x14ac:dyDescent="0.25">
      <c r="A107" s="183"/>
      <c r="B107" s="183"/>
      <c r="C107" s="183"/>
      <c r="D107" s="183"/>
      <c r="E107" s="1"/>
      <c r="F107" s="183"/>
      <c r="G107" s="183"/>
      <c r="H107" s="183"/>
      <c r="I107" s="183"/>
      <c r="J107" s="183"/>
      <c r="K107" s="183"/>
      <c r="L107" s="183"/>
      <c r="M107" s="183"/>
    </row>
    <row r="108" spans="1:13" ht="15" customHeight="1" x14ac:dyDescent="0.25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</row>
    <row r="109" spans="1:13" ht="15" customHeight="1" x14ac:dyDescent="0.25">
      <c r="A109" s="183"/>
      <c r="B109" s="183"/>
      <c r="C109" s="183"/>
      <c r="D109" s="183"/>
      <c r="E109" s="1"/>
      <c r="F109" s="183"/>
      <c r="G109" s="183"/>
      <c r="H109" s="183"/>
      <c r="I109" s="183"/>
      <c r="J109" s="183"/>
      <c r="K109" s="183"/>
      <c r="L109" s="183"/>
      <c r="M109" s="183"/>
    </row>
  </sheetData>
  <mergeCells count="5">
    <mergeCell ref="A4:H4"/>
    <mergeCell ref="A49:H49"/>
    <mergeCell ref="A44:H44"/>
    <mergeCell ref="A1:H1"/>
    <mergeCell ref="A23:H23"/>
  </mergeCell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2"/>
  <sheetViews>
    <sheetView zoomScaleNormal="100" workbookViewId="0">
      <selection activeCell="E4" sqref="E4"/>
    </sheetView>
  </sheetViews>
  <sheetFormatPr defaultColWidth="8.5703125" defaultRowHeight="15" x14ac:dyDescent="0.25"/>
  <cols>
    <col min="1" max="1" width="12" style="188" customWidth="1"/>
    <col min="2" max="3" width="16" style="188" customWidth="1"/>
    <col min="4" max="6" width="14" style="188" customWidth="1"/>
    <col min="7" max="8" width="12" style="188" customWidth="1"/>
  </cols>
  <sheetData>
    <row r="1" spans="1:8" ht="17.25" customHeight="1" x14ac:dyDescent="0.25">
      <c r="A1" s="247" t="s">
        <v>250</v>
      </c>
      <c r="B1" s="221"/>
      <c r="C1" s="221"/>
      <c r="D1" s="221"/>
      <c r="E1" s="221"/>
      <c r="F1" s="221"/>
      <c r="G1" s="221"/>
      <c r="H1" s="221"/>
    </row>
    <row r="2" spans="1:8" ht="15" customHeight="1" x14ac:dyDescent="0.25">
      <c r="A2" s="143"/>
      <c r="B2" s="144"/>
      <c r="C2" s="144"/>
      <c r="D2" s="144"/>
      <c r="E2" s="144"/>
      <c r="F2" s="144"/>
      <c r="G2" s="144"/>
    </row>
    <row r="3" spans="1:8" ht="26.25" customHeight="1" x14ac:dyDescent="0.25">
      <c r="A3" s="145" t="s">
        <v>251</v>
      </c>
      <c r="B3" s="146" t="s">
        <v>252</v>
      </c>
      <c r="C3" s="146" t="s">
        <v>253</v>
      </c>
      <c r="D3" s="146" t="s">
        <v>254</v>
      </c>
      <c r="E3" s="146" t="s">
        <v>255</v>
      </c>
      <c r="F3" s="146" t="s">
        <v>256</v>
      </c>
      <c r="G3" s="146" t="s">
        <v>257</v>
      </c>
      <c r="H3" s="147" t="s">
        <v>258</v>
      </c>
    </row>
    <row r="4" spans="1:8" ht="15" customHeight="1" x14ac:dyDescent="0.25">
      <c r="A4" s="213">
        <v>46204</v>
      </c>
      <c r="B4" s="17">
        <f>SUMIFS('Controlo de Propinas'!N6:N105,'Controlo de Propinas'!K6:K105,"&gt;=2026-07-01",'Controlo de Propinas'!K6:K105,"&lt;2026-08-01")+SUMIFS('Controlo de Propinas'!N110:N124,'Controlo de Propinas'!K110:K124,"&gt;=2026-07-01",'Controlo de Propinas'!K110:K124,"&lt;2026-08-01")+SUMIFS('Controlo de Propinas'!N129:N187,'Controlo de Propinas'!K129:K187,"&gt;=2026-07-01",'Controlo de Propinas'!K129:K187,"&lt;2026-08-01")+SUMIFS('Controlo de Propinas'!N192:N206,'Controlo de Propinas'!K192:K206,"&gt;=2026-07-01",'Controlo de Propinas'!K192:K206,"&lt;2026-08-01")+SUMIFS('Controlo de Propinas'!N210:N248,'Controlo de Propinas'!K210:K248,"&gt;=2026-07-01",'Controlo de Propinas'!K210:K248,"&lt;2026-08-01")+SUMIFS('Controlo de Propinas'!N253:N292,'Controlo de Propinas'!K253:K292,"&gt;=2026-07-01",'Controlo de Propinas'!K253:K292,"&lt;2026-08-01")</f>
        <v>1168000</v>
      </c>
      <c r="C4" s="17">
        <f>SUMIFS('Controlo de Propinas'!J6:J105,'Controlo de Propinas'!K6:K105,"&gt;=2026-07-01",'Controlo de Propinas'!K6:K105,"&lt;2026-08-01")+SUMIFS('Controlo de Propinas'!J110:J124,'Controlo de Propinas'!K110:K124,"&gt;=2026-07-01",'Controlo de Propinas'!K110:K124,"&lt;2026-08-01")+SUMIFS('Controlo de Propinas'!J129:J187,'Controlo de Propinas'!K129:K187,"&gt;=2026-07-01",'Controlo de Propinas'!K129:K187,"&lt;2026-08-01")+SUMIFS('Controlo de Propinas'!J192:J206,'Controlo de Propinas'!K192:K206,"&gt;=2026-07-01",'Controlo de Propinas'!K192:K206,"&lt;2026-08-01")+SUMIFS('Controlo de Propinas'!J210:J248,'Controlo de Propinas'!K210:K248,"&gt;=2026-07-01",'Controlo de Propinas'!K210:K248,"&lt;2026-08-01")+SUMIFS('Controlo de Propinas'!J253:J292,'Controlo de Propinas'!K253:K292,"&gt;=2026-07-01",'Controlo de Propinas'!K253:K292,"&lt;2026-08-01")</f>
        <v>170000</v>
      </c>
      <c r="D4" s="148">
        <v>0</v>
      </c>
      <c r="E4" s="149">
        <v>4988379.88</v>
      </c>
      <c r="F4" s="150">
        <f t="shared" ref="F4:F9" si="0">B4+C4+D4+E4</f>
        <v>6326379.8799999999</v>
      </c>
      <c r="G4" s="149">
        <v>3500000</v>
      </c>
      <c r="H4" s="86">
        <f>F4-G4</f>
        <v>2826379.88</v>
      </c>
    </row>
    <row r="5" spans="1:8" ht="15" customHeight="1" x14ac:dyDescent="0.25">
      <c r="A5" s="214">
        <v>46235</v>
      </c>
      <c r="B5" s="17">
        <f>SUMIFS('Controlo de Propinas'!N6:N105,'Controlo de Propinas'!K6:K105,"&gt;=2026-08-01",'Controlo de Propinas'!K6:K105,"&lt;2026-09-01")+SUMIFS('Controlo de Propinas'!N110:N124,'Controlo de Propinas'!K110:K124,"&gt;=2026-08-01",'Controlo de Propinas'!K110:K124,"&lt;2026-09-01")+SUMIFS('Controlo de Propinas'!N129:N187,'Controlo de Propinas'!K129:K187,"&gt;=2026-08-01",'Controlo de Propinas'!K129:K187,"&lt;2026-09-01")+SUMIFS('Controlo de Propinas'!N192:N206,'Controlo de Propinas'!K192:K206,"&gt;=2026-08-01",'Controlo de Propinas'!K192:K206,"&lt;2026-09-01")+SUMIFS('Controlo de Propinas'!N210:N248,'Controlo de Propinas'!K210:K248,"&gt;=2026-08-01",'Controlo de Propinas'!K210:K248,"&lt;2026-09-01")+SUMIFS('Controlo de Propinas'!N253:N292,'Controlo de Propinas'!K253:K292,"&gt;=2026-08-01",'Controlo de Propinas'!K253:K292,"&lt;2026-09-01")</f>
        <v>1720000</v>
      </c>
      <c r="C5" s="17">
        <f>SUMIFS('Controlo de Propinas'!J6:J105,'Controlo de Propinas'!K6:K105,"&gt;=2026-08-01",'Controlo de Propinas'!K6:K105,"&lt;2026-09-01")+SUMIFS('Controlo de Propinas'!J110:J124,'Controlo de Propinas'!K110:K124,"&gt;=2026-08-01",'Controlo de Propinas'!K110:K124,"&lt;2026-09-01")+SUMIFS('Controlo de Propinas'!J129:J187,'Controlo de Propinas'!K129:K187,"&gt;=2026-08-01",'Controlo de Propinas'!K129:K187,"&lt;2026-09-01")+SUMIFS('Controlo de Propinas'!J192:J206,'Controlo de Propinas'!K192:K206,"&gt;=2026-08-01",'Controlo de Propinas'!K192:K206,"&lt;2026-09-01")+SUMIFS('Controlo de Propinas'!J210:J248,'Controlo de Propinas'!K210:K248,"&gt;=2026-08-01",'Controlo de Propinas'!K210:K248,"&lt;2026-09-01")+SUMIFS('Controlo de Propinas'!J253:J292,'Controlo de Propinas'!K253:K292,"&gt;=2026-08-01",'Controlo de Propinas'!K253:K292,"&lt;2026-09-01")</f>
        <v>0</v>
      </c>
      <c r="D5" s="148">
        <v>0</v>
      </c>
      <c r="E5" s="148">
        <v>0</v>
      </c>
      <c r="F5" s="150">
        <f t="shared" si="0"/>
        <v>1720000</v>
      </c>
      <c r="G5" s="149">
        <v>1488379.88</v>
      </c>
      <c r="H5" s="86">
        <f>H4+F5-G5</f>
        <v>3058000</v>
      </c>
    </row>
    <row r="6" spans="1:8" ht="15" customHeight="1" x14ac:dyDescent="0.25">
      <c r="A6" s="214">
        <v>46266</v>
      </c>
      <c r="B6" s="17">
        <f>SUMIFS('Controlo de Propinas'!N6:N105,'Controlo de Propinas'!K6:K105,"&gt;=2026-09-01",'Controlo de Propinas'!K6:K105,"&lt;2026-10-01")+SUMIFS('Controlo de Propinas'!N110:N124,'Controlo de Propinas'!K110:K124,"&gt;=2026-09-01",'Controlo de Propinas'!K110:K124,"&lt;2026-10-01")+SUMIFS('Controlo de Propinas'!N129:N187,'Controlo de Propinas'!K129:K187,"&gt;=2026-09-01",'Controlo de Propinas'!K129:K187,"&lt;2026-10-01")+SUMIFS('Controlo de Propinas'!N192:N206,'Controlo de Propinas'!K192:K206,"&gt;=2026-09-01",'Controlo de Propinas'!K192:K206,"&lt;2026-10-01")+SUMIFS('Controlo de Propinas'!N210:N248,'Controlo de Propinas'!K210:K248,"&gt;=2026-09-01",'Controlo de Propinas'!K210:K248,"&lt;2026-10-01")+SUMIFS('Controlo de Propinas'!N253:N292,'Controlo de Propinas'!K253:K292,"&gt;=2026-09-01",'Controlo de Propinas'!K253:K292,"&lt;2026-10-01")</f>
        <v>0</v>
      </c>
      <c r="C6" s="17">
        <f>SUMIF(Mensalidades!E6:E80,"&gt;0")+SUMIF(Mensalidades!E85:E159,"&gt;0")+SUMIF(Mensalidades!E164:E238,"&gt;0")+SUMIF(Mensalidades!E243:E317,"&gt;0")</f>
        <v>0</v>
      </c>
      <c r="D6" s="148">
        <v>0</v>
      </c>
      <c r="E6" s="148">
        <v>0</v>
      </c>
      <c r="F6" s="150">
        <f t="shared" si="0"/>
        <v>0</v>
      </c>
      <c r="G6" s="148">
        <v>0</v>
      </c>
      <c r="H6" s="86">
        <f>H5+F6-G6</f>
        <v>3058000</v>
      </c>
    </row>
    <row r="7" spans="1:8" ht="15" customHeight="1" x14ac:dyDescent="0.25">
      <c r="A7" s="214">
        <v>46296</v>
      </c>
      <c r="B7" s="17">
        <v>0</v>
      </c>
      <c r="C7" s="17">
        <v>0</v>
      </c>
      <c r="D7" s="148">
        <v>0</v>
      </c>
      <c r="E7" s="148">
        <v>0</v>
      </c>
      <c r="F7" s="150">
        <f t="shared" si="0"/>
        <v>0</v>
      </c>
      <c r="G7" s="148">
        <v>0</v>
      </c>
      <c r="H7" s="86">
        <f>H6+F7-G7</f>
        <v>3058000</v>
      </c>
    </row>
    <row r="8" spans="1:8" ht="15" customHeight="1" x14ac:dyDescent="0.25">
      <c r="A8" s="214">
        <v>46327</v>
      </c>
      <c r="B8" s="17">
        <v>0</v>
      </c>
      <c r="C8" s="17">
        <v>0</v>
      </c>
      <c r="D8" s="148">
        <v>0</v>
      </c>
      <c r="E8" s="148">
        <v>0</v>
      </c>
      <c r="F8" s="150">
        <f t="shared" si="0"/>
        <v>0</v>
      </c>
      <c r="G8" s="148">
        <v>0</v>
      </c>
      <c r="H8" s="86">
        <f>H7+F8-G8</f>
        <v>3058000</v>
      </c>
    </row>
    <row r="9" spans="1:8" ht="15" customHeight="1" x14ac:dyDescent="0.25">
      <c r="A9" s="214">
        <v>46357</v>
      </c>
      <c r="B9" s="17">
        <v>0</v>
      </c>
      <c r="C9" s="17">
        <v>0</v>
      </c>
      <c r="D9" s="148">
        <v>0</v>
      </c>
      <c r="E9" s="148">
        <v>0</v>
      </c>
      <c r="F9" s="150">
        <f t="shared" si="0"/>
        <v>0</v>
      </c>
      <c r="G9" s="148">
        <v>0</v>
      </c>
      <c r="H9" s="86">
        <f>H8+F9-G9</f>
        <v>3058000</v>
      </c>
    </row>
    <row r="10" spans="1:8" ht="15" customHeight="1" x14ac:dyDescent="0.25">
      <c r="A10" s="151" t="s">
        <v>18</v>
      </c>
      <c r="B10" s="152">
        <f t="shared" ref="B10:G10" si="1">SUM(B4:B9)</f>
        <v>2888000</v>
      </c>
      <c r="C10" s="152">
        <f t="shared" si="1"/>
        <v>170000</v>
      </c>
      <c r="D10" s="152">
        <f t="shared" si="1"/>
        <v>0</v>
      </c>
      <c r="E10" s="152">
        <f t="shared" si="1"/>
        <v>4988379.88</v>
      </c>
      <c r="F10" s="152">
        <f t="shared" si="1"/>
        <v>8046379.8799999999</v>
      </c>
      <c r="G10" s="152">
        <f t="shared" si="1"/>
        <v>4988379.88</v>
      </c>
      <c r="H10" s="153">
        <f>H9</f>
        <v>3058000</v>
      </c>
    </row>
    <row r="12" spans="1:8" ht="15" customHeight="1" x14ac:dyDescent="0.25">
      <c r="A12" s="186" t="s">
        <v>259</v>
      </c>
    </row>
  </sheetData>
  <mergeCells count="1">
    <mergeCell ref="A1:H1"/>
  </mergeCell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27"/>
  <sheetViews>
    <sheetView zoomScaleNormal="100" workbookViewId="0">
      <selection activeCell="B25" sqref="B25"/>
    </sheetView>
  </sheetViews>
  <sheetFormatPr defaultColWidth="8.5703125" defaultRowHeight="15" x14ac:dyDescent="0.25"/>
  <cols>
    <col min="1" max="1" width="45" style="188" customWidth="1"/>
    <col min="2" max="2" width="43.28515625" style="188" customWidth="1"/>
  </cols>
  <sheetData>
    <row r="1" spans="1:2" ht="17.25" customHeight="1" x14ac:dyDescent="0.25">
      <c r="A1" s="272" t="s">
        <v>260</v>
      </c>
      <c r="B1" s="221"/>
    </row>
    <row r="3" spans="1:2" ht="15" customHeight="1" x14ac:dyDescent="0.25">
      <c r="A3" s="154" t="s">
        <v>261</v>
      </c>
    </row>
    <row r="4" spans="1:2" ht="15" customHeight="1" x14ac:dyDescent="0.25">
      <c r="A4" t="s">
        <v>262</v>
      </c>
      <c r="B4" s="155">
        <f>'Controlo de Propinas'!N295-(SUMIF('Controlo de Propinas'!J6:J105,"&gt;0")+SUMIF('Controlo de Propinas'!J110:J124,"&gt;0")+SUMIF('Controlo de Propinas'!J129:J187,"&gt;0")+SUMIF('Controlo de Propinas'!J192:J206,"&gt;0")+SUMIF('Controlo de Propinas'!J210:J248,"&gt;0")+SUMIF('Controlo de Propinas'!J253:J292,"&gt;0"))</f>
        <v>3088000</v>
      </c>
    </row>
    <row r="5" spans="1:2" ht="15" customHeight="1" x14ac:dyDescent="0.25">
      <c r="A5" t="s">
        <v>263</v>
      </c>
      <c r="B5" s="155">
        <f>SUMIF('Controlo de Propinas'!J6:J105,"&gt;0")+SUMIF('Controlo de Propinas'!J110:J124,"&gt;0")+SUMIF('Controlo de Propinas'!J129:J187,"&gt;0")+SUMIF('Controlo de Propinas'!J192:J206,"&gt;0")+SUMIF('Controlo de Propinas'!J210:J248,"&gt;0")+SUMIF('Controlo de Propinas'!J253:J292,"&gt;0")+SUMIF(Mensalidades!E6:E80,"&gt;0")+SUMIF(Mensalidades!E85:E159,"&gt;0")+SUMIF(Mensalidades!E164:E238,"&gt;0")+SUMIF(Mensalidades!E243:E317,"&gt;0")</f>
        <v>170000</v>
      </c>
    </row>
    <row r="6" spans="1:2" ht="15" customHeight="1" x14ac:dyDescent="0.25">
      <c r="A6" t="s">
        <v>264</v>
      </c>
      <c r="B6" s="156">
        <v>0</v>
      </c>
    </row>
    <row r="7" spans="1:2" ht="15" customHeight="1" x14ac:dyDescent="0.25">
      <c r="A7" t="s">
        <v>22</v>
      </c>
      <c r="B7" s="156">
        <v>0</v>
      </c>
    </row>
    <row r="8" spans="1:2" ht="15" customHeight="1" x14ac:dyDescent="0.25">
      <c r="A8" s="151" t="s">
        <v>23</v>
      </c>
      <c r="B8" s="152">
        <f>SUM(B4:B7)</f>
        <v>3258000</v>
      </c>
    </row>
    <row r="10" spans="1:2" ht="15" customHeight="1" x14ac:dyDescent="0.25">
      <c r="A10" s="157" t="s">
        <v>265</v>
      </c>
    </row>
    <row r="11" spans="1:2" ht="15" customHeight="1" x14ac:dyDescent="0.25">
      <c r="A11" t="s">
        <v>266</v>
      </c>
      <c r="B11" s="158">
        <f>'Lançamentos Contábeis'!E63</f>
        <v>90000</v>
      </c>
    </row>
    <row r="12" spans="1:2" ht="15" customHeight="1" x14ac:dyDescent="0.25">
      <c r="A12" t="s">
        <v>219</v>
      </c>
      <c r="B12" s="158">
        <f>'Lançamentos Contábeis'!E51</f>
        <v>1093730</v>
      </c>
    </row>
    <row r="13" spans="1:2" ht="15" customHeight="1" x14ac:dyDescent="0.25">
      <c r="A13" t="s">
        <v>267</v>
      </c>
      <c r="B13" s="158">
        <f>'Lançamentos Contábeis'!E52+'Lançamentos Contábeis'!E53</f>
        <v>1800500</v>
      </c>
    </row>
    <row r="14" spans="1:2" ht="15" customHeight="1" x14ac:dyDescent="0.25">
      <c r="A14" t="s">
        <v>268</v>
      </c>
      <c r="B14" s="158">
        <f>'Lançamentos Contábeis'!E54</f>
        <v>45000</v>
      </c>
    </row>
    <row r="15" spans="1:2" ht="15" customHeight="1" x14ac:dyDescent="0.25">
      <c r="A15" s="151" t="s">
        <v>269</v>
      </c>
      <c r="B15" s="158">
        <f>'Lançamentos Contábeis'!E55+'Lançamentos Contábeis'!E56</f>
        <v>485200</v>
      </c>
    </row>
    <row r="16" spans="1:2" ht="15" customHeight="1" x14ac:dyDescent="0.25">
      <c r="A16" t="s">
        <v>232</v>
      </c>
      <c r="B16" s="158">
        <f>'Lançamentos Contábeis'!E57</f>
        <v>380566</v>
      </c>
    </row>
    <row r="17" spans="1:2" ht="15" customHeight="1" x14ac:dyDescent="0.25">
      <c r="A17" s="159" t="s">
        <v>234</v>
      </c>
      <c r="B17" s="158">
        <f>'Lançamentos Contábeis'!E58</f>
        <v>677289.84</v>
      </c>
    </row>
    <row r="18" spans="1:2" ht="15" customHeight="1" x14ac:dyDescent="0.25">
      <c r="A18" t="s">
        <v>238</v>
      </c>
      <c r="B18" s="158">
        <f>'Lançamentos Contábeis'!E60</f>
        <v>213000.04</v>
      </c>
    </row>
    <row r="19" spans="1:2" ht="15" customHeight="1" x14ac:dyDescent="0.25">
      <c r="A19" s="186" t="s">
        <v>270</v>
      </c>
      <c r="B19" s="158">
        <f>'Lançamentos Contábeis'!E59+'Lançamentos Contábeis'!E61+'Lançamentos Contábeis'!E62</f>
        <v>175094</v>
      </c>
    </row>
    <row r="20" spans="1:2" ht="15" customHeight="1" x14ac:dyDescent="0.25">
      <c r="A20" t="s">
        <v>56</v>
      </c>
      <c r="B20" s="158">
        <v>0</v>
      </c>
    </row>
    <row r="21" spans="1:2" ht="15" customHeight="1" x14ac:dyDescent="0.25">
      <c r="A21" t="s">
        <v>271</v>
      </c>
      <c r="B21" s="158">
        <v>0</v>
      </c>
    </row>
    <row r="22" spans="1:2" ht="15" customHeight="1" x14ac:dyDescent="0.25">
      <c r="A22" t="s">
        <v>246</v>
      </c>
      <c r="B22" s="160">
        <f>'Lançamentos Contábeis'!E64</f>
        <v>28000</v>
      </c>
    </row>
    <row r="23" spans="1:2" ht="15" customHeight="1" x14ac:dyDescent="0.25">
      <c r="A23" t="s">
        <v>272</v>
      </c>
      <c r="B23" s="161">
        <f>SUM(B11:B22)</f>
        <v>4988379.88</v>
      </c>
    </row>
    <row r="24" spans="1:2" ht="15" customHeight="1" x14ac:dyDescent="0.25"/>
    <row r="25" spans="1:2" ht="15" customHeight="1" x14ac:dyDescent="0.25">
      <c r="A25" t="s">
        <v>273</v>
      </c>
      <c r="B25" s="162">
        <f>B8-B23</f>
        <v>-1730379.88</v>
      </c>
    </row>
    <row r="26" spans="1:2" ht="15" customHeight="1" x14ac:dyDescent="0.25">
      <c r="A26" s="221"/>
      <c r="B26" s="221"/>
    </row>
    <row r="27" spans="1:2" ht="15" customHeight="1" x14ac:dyDescent="0.25">
      <c r="A27" s="100" t="s">
        <v>274</v>
      </c>
    </row>
  </sheetData>
  <mergeCells count="2">
    <mergeCell ref="A26:B26"/>
    <mergeCell ref="A1:B1"/>
  </mergeCells>
  <printOptions horizontalCentered="1"/>
  <pageMargins left="0.4" right="0.4" top="0.5" bottom="0.5" header="0.2" footer="0.2"/>
  <pageSetup paperSize="9" fitToHeight="0" orientation="portrait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3"/>
  <sheetViews>
    <sheetView zoomScaleNormal="100" workbookViewId="0">
      <selection activeCell="B6" sqref="B6"/>
    </sheetView>
  </sheetViews>
  <sheetFormatPr defaultColWidth="8.5703125" defaultRowHeight="15" x14ac:dyDescent="0.25"/>
  <cols>
    <col min="1" max="1" width="40" style="188" customWidth="1"/>
    <col min="2" max="2" width="18" style="188" customWidth="1"/>
  </cols>
  <sheetData>
    <row r="1" spans="1:2" ht="17.25" customHeight="1" x14ac:dyDescent="0.25">
      <c r="A1" s="272" t="s">
        <v>275</v>
      </c>
      <c r="B1" s="221"/>
    </row>
    <row r="3" spans="1:2" ht="15" customHeight="1" x14ac:dyDescent="0.25">
      <c r="A3" s="154" t="s">
        <v>276</v>
      </c>
    </row>
    <row r="4" spans="1:2" ht="15" customHeight="1" x14ac:dyDescent="0.25">
      <c r="A4" t="s">
        <v>277</v>
      </c>
      <c r="B4" s="155">
        <f>'Fluxo de Caixa'!H6</f>
        <v>3058000</v>
      </c>
    </row>
    <row r="5" spans="1:2" ht="15" customHeight="1" x14ac:dyDescent="0.25">
      <c r="A5" t="s">
        <v>278</v>
      </c>
      <c r="B5" s="156">
        <v>0</v>
      </c>
    </row>
    <row r="6" spans="1:2" ht="15" customHeight="1" x14ac:dyDescent="0.25">
      <c r="A6" t="s">
        <v>52</v>
      </c>
      <c r="B6" s="156">
        <v>0</v>
      </c>
    </row>
    <row r="7" spans="1:2" ht="15" customHeight="1" x14ac:dyDescent="0.25">
      <c r="A7" s="151" t="s">
        <v>279</v>
      </c>
      <c r="B7" s="152">
        <f>SUM(B4:B6)</f>
        <v>3058000</v>
      </c>
    </row>
    <row r="9" spans="1:2" ht="15" customHeight="1" x14ac:dyDescent="0.25">
      <c r="A9" s="157" t="s">
        <v>280</v>
      </c>
    </row>
    <row r="10" spans="1:2" ht="15" customHeight="1" x14ac:dyDescent="0.25">
      <c r="A10" t="s">
        <v>281</v>
      </c>
      <c r="B10" s="156">
        <v>0</v>
      </c>
    </row>
    <row r="11" spans="1:2" ht="15" customHeight="1" x14ac:dyDescent="0.25">
      <c r="A11" t="s">
        <v>282</v>
      </c>
      <c r="B11" s="155">
        <f>DRE!B25</f>
        <v>-1730379.88</v>
      </c>
    </row>
    <row r="12" spans="1:2" ht="15" customHeight="1" x14ac:dyDescent="0.25">
      <c r="A12" t="s">
        <v>283</v>
      </c>
      <c r="B12" s="163">
        <f>B7-B10-B11</f>
        <v>4788379.88</v>
      </c>
    </row>
    <row r="13" spans="1:2" ht="15" customHeight="1" x14ac:dyDescent="0.25">
      <c r="A13" s="151" t="s">
        <v>284</v>
      </c>
      <c r="B13" s="152">
        <f>SUM(B10:B12)</f>
        <v>3058000</v>
      </c>
    </row>
  </sheetData>
  <mergeCells count="1">
    <mergeCell ref="A1:B1"/>
  </mergeCells>
  <printOptions horizontalCentered="1"/>
  <pageMargins left="0.4" right="0.4" top="0.5" bottom="0.5" header="0.2" footer="0.2"/>
  <pageSetup paperSize="9" fitToHeight="0" orientation="portrait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12"/>
  <sheetViews>
    <sheetView zoomScaleNormal="100" workbookViewId="0">
      <selection activeCell="G11" sqref="G11"/>
    </sheetView>
  </sheetViews>
  <sheetFormatPr defaultColWidth="8.5703125" defaultRowHeight="15" x14ac:dyDescent="0.25"/>
  <cols>
    <col min="1" max="1" width="40" style="188" customWidth="1"/>
    <col min="2" max="2" width="18" style="188" customWidth="1"/>
  </cols>
  <sheetData>
    <row r="1" spans="1:2" ht="17.25" customHeight="1" x14ac:dyDescent="0.25">
      <c r="A1" s="187" t="s">
        <v>285</v>
      </c>
    </row>
    <row r="3" spans="1:2" ht="15" customHeight="1" x14ac:dyDescent="0.25">
      <c r="A3" s="154" t="s">
        <v>286</v>
      </c>
    </row>
    <row r="4" spans="1:2" ht="15" customHeight="1" x14ac:dyDescent="0.25">
      <c r="A4" t="s">
        <v>287</v>
      </c>
      <c r="B4" s="164">
        <f>'Controlo de Propinas'!B295</f>
        <v>17</v>
      </c>
    </row>
    <row r="5" spans="1:2" ht="15" customHeight="1" x14ac:dyDescent="0.25">
      <c r="A5" t="s">
        <v>288</v>
      </c>
      <c r="B5" s="165">
        <f>'Controlo de Propinas'!N295</f>
        <v>3258000</v>
      </c>
    </row>
    <row r="6" spans="1:2" ht="15" customHeight="1" x14ac:dyDescent="0.25">
      <c r="B6" s="166"/>
    </row>
    <row r="7" spans="1:2" ht="15" customHeight="1" x14ac:dyDescent="0.25">
      <c r="A7" s="157" t="s">
        <v>289</v>
      </c>
      <c r="B7" s="166"/>
    </row>
    <row r="8" spans="1:2" ht="15" customHeight="1" x14ac:dyDescent="0.25">
      <c r="A8" t="s">
        <v>290</v>
      </c>
      <c r="B8" s="165">
        <f>SUMIF('Controlo de Propinas'!J6:J105,"&gt;0")+SUMIF('Controlo de Propinas'!J110:J124,"&gt;0")+SUMIF('Controlo de Propinas'!J129:J187,"&gt;0")+SUMIF('Controlo de Propinas'!J192:J206,"&gt;0")+SUMIF('Controlo de Propinas'!J210:J248,"&gt;0")+SUMIF('Controlo de Propinas'!J253:J292,"&gt;0")+SUMIF(Mensalidades!E6:E80,"&gt;0")+SUMIF(Mensalidades!E85:E159,"&gt;0")+SUMIF(Mensalidades!E164:E238,"&gt;0")+SUMIF(Mensalidades!E243:E317,"&gt;0")</f>
        <v>170000</v>
      </c>
    </row>
    <row r="9" spans="1:2" ht="15" customHeight="1" x14ac:dyDescent="0.25">
      <c r="B9" s="166"/>
    </row>
    <row r="10" spans="1:2" ht="15" customHeight="1" x14ac:dyDescent="0.25">
      <c r="A10" s="151" t="s">
        <v>291</v>
      </c>
      <c r="B10" s="166"/>
    </row>
    <row r="11" spans="1:2" ht="15" customHeight="1" x14ac:dyDescent="0.25">
      <c r="A11" t="s">
        <v>292</v>
      </c>
      <c r="B11" s="165">
        <f>DRE!B25</f>
        <v>-1730379.88</v>
      </c>
    </row>
    <row r="12" spans="1:2" ht="15" customHeight="1" x14ac:dyDescent="0.25">
      <c r="A12" t="s">
        <v>293</v>
      </c>
      <c r="B12" s="165">
        <f>'Fluxo de Caixa'!H10</f>
        <v>3058000</v>
      </c>
    </row>
  </sheetData>
  <printOptions horizontalCentered="1"/>
  <pageMargins left="0.4" right="0.4" top="0.5" bottom="0.5" header="0.2" footer="0.2"/>
  <pageSetup paperSize="9" fitToHeight="0" orientation="portrait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34"/>
  <sheetViews>
    <sheetView topLeftCell="A4" zoomScaleNormal="100" workbookViewId="0">
      <pane ySplit="4" topLeftCell="A11" activePane="bottomLeft" state="frozen"/>
      <selection activeCell="A4" sqref="A4"/>
      <selection pane="bottomLeft" activeCell="B25" sqref="B25"/>
    </sheetView>
  </sheetViews>
  <sheetFormatPr defaultColWidth="8.5703125" defaultRowHeight="15" x14ac:dyDescent="0.25"/>
  <cols>
    <col min="1" max="1" width="10" style="188" customWidth="1"/>
    <col min="2" max="2" width="32" style="188" customWidth="1"/>
    <col min="3" max="3" width="18" style="188" customWidth="1"/>
    <col min="4" max="4" width="19.42578125" style="188" customWidth="1"/>
    <col min="5" max="6" width="12" style="188" customWidth="1"/>
    <col min="7" max="7" width="17.85546875" style="188" customWidth="1"/>
    <col min="8" max="8" width="13.28515625" style="188" customWidth="1"/>
    <col min="9" max="9" width="20.5703125" style="188" customWidth="1"/>
    <col min="10" max="10" width="17.5703125" style="188" customWidth="1"/>
    <col min="11" max="11" width="14" style="188" customWidth="1"/>
    <col min="12" max="12" width="16.85546875" style="188" customWidth="1"/>
  </cols>
  <sheetData>
    <row r="1" spans="1:12" ht="21.75" customHeight="1" x14ac:dyDescent="0.25">
      <c r="A1" s="272" t="s">
        <v>294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2" ht="14.25" customHeight="1" x14ac:dyDescent="0.25">
      <c r="A2" s="273" t="s">
        <v>295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3" spans="1:12" ht="15" customHeight="1" x14ac:dyDescent="0.25"/>
    <row r="4" spans="1:12" ht="15" customHeight="1" x14ac:dyDescent="0.25">
      <c r="A4" s="276" t="s">
        <v>296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3"/>
    </row>
    <row r="5" spans="1:12" ht="34.5" customHeight="1" x14ac:dyDescent="0.25">
      <c r="A5" s="167" t="s">
        <v>64</v>
      </c>
      <c r="B5" s="167" t="s">
        <v>297</v>
      </c>
      <c r="C5" s="167" t="s">
        <v>187</v>
      </c>
      <c r="D5" s="167" t="s">
        <v>298</v>
      </c>
      <c r="E5" s="167" t="s">
        <v>251</v>
      </c>
      <c r="F5" s="167" t="s">
        <v>299</v>
      </c>
      <c r="G5" s="167" t="s">
        <v>300</v>
      </c>
      <c r="H5" s="167" t="s">
        <v>301</v>
      </c>
      <c r="I5" s="167" t="s">
        <v>302</v>
      </c>
      <c r="J5" s="167" t="s">
        <v>303</v>
      </c>
      <c r="K5" s="167" t="s">
        <v>304</v>
      </c>
      <c r="L5" s="167" t="s">
        <v>305</v>
      </c>
    </row>
    <row r="6" spans="1:12" ht="15" customHeight="1" x14ac:dyDescent="0.25">
      <c r="A6" s="78"/>
      <c r="B6" s="78"/>
      <c r="C6" s="78"/>
      <c r="D6" s="76"/>
      <c r="E6" s="78"/>
      <c r="F6" s="77">
        <v>22</v>
      </c>
      <c r="G6" s="77"/>
      <c r="H6" s="79" t="str">
        <f t="shared" ref="H6:H11" si="0">IF(OR(F6="",G6=""),"",MAX(0,F6-G6))</f>
        <v/>
      </c>
      <c r="I6" s="86" t="str">
        <f t="shared" ref="I6:I11" si="1">IF(OR(D6="",F6="",H6=""),"",ROUND((D6/F6)*H6,0))</f>
        <v/>
      </c>
      <c r="J6" s="76">
        <v>0</v>
      </c>
      <c r="K6" s="86" t="str">
        <f t="shared" ref="K6:K11" si="2">IF(D6="","",D6-IF(I6="",0,I6)-IF(J6="",0,J6))</f>
        <v/>
      </c>
      <c r="L6" s="215"/>
    </row>
    <row r="7" spans="1:12" ht="15" customHeight="1" x14ac:dyDescent="0.25">
      <c r="A7" s="78"/>
      <c r="B7" s="78"/>
      <c r="C7" s="78"/>
      <c r="D7" s="76"/>
      <c r="E7" s="78"/>
      <c r="F7" s="77">
        <v>22</v>
      </c>
      <c r="G7" s="77"/>
      <c r="H7" s="79" t="str">
        <f t="shared" si="0"/>
        <v/>
      </c>
      <c r="I7" s="86" t="str">
        <f t="shared" si="1"/>
        <v/>
      </c>
      <c r="J7" s="76">
        <v>0</v>
      </c>
      <c r="K7" s="86" t="str">
        <f t="shared" si="2"/>
        <v/>
      </c>
      <c r="L7" s="215"/>
    </row>
    <row r="8" spans="1:12" ht="15" customHeight="1" x14ac:dyDescent="0.25">
      <c r="A8" s="78"/>
      <c r="B8" s="78"/>
      <c r="C8" s="78"/>
      <c r="D8" s="76"/>
      <c r="E8" s="78"/>
      <c r="F8" s="77">
        <v>22</v>
      </c>
      <c r="G8" s="77"/>
      <c r="H8" s="79" t="str">
        <f t="shared" si="0"/>
        <v/>
      </c>
      <c r="I8" s="86" t="str">
        <f t="shared" si="1"/>
        <v/>
      </c>
      <c r="J8" s="76">
        <v>0</v>
      </c>
      <c r="K8" s="86" t="str">
        <f t="shared" si="2"/>
        <v/>
      </c>
      <c r="L8" s="215"/>
    </row>
    <row r="9" spans="1:12" ht="15" customHeight="1" x14ac:dyDescent="0.25">
      <c r="A9" s="78"/>
      <c r="B9" s="78"/>
      <c r="C9" s="78"/>
      <c r="D9" s="76"/>
      <c r="E9" s="78"/>
      <c r="F9" s="77">
        <v>22</v>
      </c>
      <c r="G9" s="77"/>
      <c r="H9" s="79" t="str">
        <f t="shared" si="0"/>
        <v/>
      </c>
      <c r="I9" s="86" t="str">
        <f t="shared" si="1"/>
        <v/>
      </c>
      <c r="J9" s="76">
        <v>0</v>
      </c>
      <c r="K9" s="86" t="str">
        <f t="shared" si="2"/>
        <v/>
      </c>
      <c r="L9" s="215"/>
    </row>
    <row r="10" spans="1:12" ht="15" customHeight="1" x14ac:dyDescent="0.25">
      <c r="A10" s="78"/>
      <c r="B10" s="78"/>
      <c r="C10" s="78"/>
      <c r="D10" s="76"/>
      <c r="E10" s="78"/>
      <c r="F10" s="77">
        <v>22</v>
      </c>
      <c r="G10" s="77"/>
      <c r="H10" s="79" t="str">
        <f t="shared" si="0"/>
        <v/>
      </c>
      <c r="I10" s="86" t="str">
        <f t="shared" si="1"/>
        <v/>
      </c>
      <c r="J10" s="76">
        <v>0</v>
      </c>
      <c r="K10" s="86" t="str">
        <f t="shared" si="2"/>
        <v/>
      </c>
      <c r="L10" s="215"/>
    </row>
    <row r="11" spans="1:12" ht="15" customHeight="1" x14ac:dyDescent="0.25">
      <c r="A11" s="78"/>
      <c r="B11" s="78"/>
      <c r="C11" s="78"/>
      <c r="D11" s="76"/>
      <c r="E11" s="78"/>
      <c r="F11" s="77">
        <v>22</v>
      </c>
      <c r="G11" s="77"/>
      <c r="H11" s="79" t="str">
        <f t="shared" si="0"/>
        <v/>
      </c>
      <c r="I11" s="86" t="str">
        <f t="shared" si="1"/>
        <v/>
      </c>
      <c r="J11" s="76">
        <v>0</v>
      </c>
      <c r="K11" s="86" t="str">
        <f t="shared" si="2"/>
        <v/>
      </c>
      <c r="L11" s="215"/>
    </row>
    <row r="12" spans="1:12" ht="14.25" customHeight="1" x14ac:dyDescent="0.25">
      <c r="A12" s="81" t="s">
        <v>306</v>
      </c>
      <c r="B12" s="82"/>
      <c r="C12" s="82"/>
      <c r="D12" s="83">
        <f>SUMIF(D6:D11,"&gt;0")</f>
        <v>0</v>
      </c>
      <c r="E12" s="82"/>
      <c r="F12" s="82"/>
      <c r="G12" s="82"/>
      <c r="H12" s="82"/>
      <c r="I12" s="83">
        <f>SUMIF(I6:I11,"&gt;0")</f>
        <v>0</v>
      </c>
      <c r="J12" s="83">
        <f>SUMIF(J6:J11,"&gt;0")</f>
        <v>0</v>
      </c>
      <c r="K12" s="83">
        <f>SUMIF(K6:K11,"&gt;0")</f>
        <v>0</v>
      </c>
      <c r="L12" s="82"/>
    </row>
    <row r="13" spans="1:12" ht="14.25" customHeight="1" x14ac:dyDescent="0.25"/>
    <row r="14" spans="1:12" ht="14.25" customHeight="1" x14ac:dyDescent="0.25">
      <c r="A14" s="274" t="s">
        <v>307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3"/>
    </row>
    <row r="15" spans="1:12" ht="25.5" customHeight="1" x14ac:dyDescent="0.25">
      <c r="A15" s="167" t="s">
        <v>64</v>
      </c>
      <c r="B15" s="167" t="s">
        <v>297</v>
      </c>
      <c r="C15" s="167" t="s">
        <v>187</v>
      </c>
      <c r="D15" s="167" t="s">
        <v>298</v>
      </c>
      <c r="E15" s="167" t="s">
        <v>251</v>
      </c>
      <c r="F15" s="167" t="s">
        <v>299</v>
      </c>
      <c r="G15" s="167" t="s">
        <v>300</v>
      </c>
      <c r="H15" s="167" t="s">
        <v>301</v>
      </c>
      <c r="I15" s="167" t="s">
        <v>302</v>
      </c>
      <c r="J15" s="167" t="s">
        <v>303</v>
      </c>
      <c r="K15" s="167" t="s">
        <v>304</v>
      </c>
      <c r="L15" s="167" t="s">
        <v>305</v>
      </c>
    </row>
    <row r="16" spans="1:12" ht="14.25" customHeight="1" x14ac:dyDescent="0.25">
      <c r="A16" s="78"/>
      <c r="B16" s="78"/>
      <c r="C16" s="78"/>
      <c r="D16" s="76"/>
      <c r="E16" s="78"/>
      <c r="F16" s="77">
        <v>22</v>
      </c>
      <c r="G16" s="77"/>
      <c r="H16" s="79" t="str">
        <f>IF(OR(F16="",G16=""),"",MAX(0,F16-G16))</f>
        <v/>
      </c>
      <c r="I16" s="86" t="str">
        <f>IF(OR(D16="",F16="",H16=""),"",ROUND((D16/F16)*H16,0))</f>
        <v/>
      </c>
      <c r="J16" s="76">
        <v>0</v>
      </c>
      <c r="K16" s="86" t="str">
        <f>IF(D16="","",D16-IF(I16="",0,I16)-IF(J16="",0,J16))</f>
        <v/>
      </c>
      <c r="L16" s="215"/>
    </row>
    <row r="17" spans="1:12" ht="14.25" customHeight="1" x14ac:dyDescent="0.25">
      <c r="A17" s="78"/>
      <c r="B17" s="78"/>
      <c r="C17" s="78"/>
      <c r="D17" s="76"/>
      <c r="E17" s="78"/>
      <c r="F17" s="77">
        <v>22</v>
      </c>
      <c r="G17" s="77"/>
      <c r="H17" s="79" t="str">
        <f>IF(OR(F17="",G17=""),"",MAX(0,F17-G17))</f>
        <v/>
      </c>
      <c r="I17" s="86" t="str">
        <f>IF(OR(D17="",F17="",H17=""),"",ROUND((D17/F17)*H17,0))</f>
        <v/>
      </c>
      <c r="J17" s="76">
        <v>0</v>
      </c>
      <c r="K17" s="86" t="str">
        <f>IF(D17="","",D17-IF(I17="",0,I17)-IF(J17="",0,J17))</f>
        <v/>
      </c>
      <c r="L17" s="215"/>
    </row>
    <row r="18" spans="1:12" ht="14.25" customHeight="1" x14ac:dyDescent="0.25">
      <c r="A18" s="78"/>
      <c r="B18" s="78"/>
      <c r="C18" s="78"/>
      <c r="D18" s="76"/>
      <c r="E18" s="78"/>
      <c r="F18" s="77">
        <v>22</v>
      </c>
      <c r="G18" s="77"/>
      <c r="H18" s="79" t="str">
        <f>IF(OR(F18="",G18=""),"",MAX(0,F18-G18))</f>
        <v/>
      </c>
      <c r="I18" s="86" t="str">
        <f>IF(OR(D18="",F18="",H18=""),"",ROUND((D18/F18)*H18,0))</f>
        <v/>
      </c>
      <c r="J18" s="76">
        <v>0</v>
      </c>
      <c r="K18" s="86" t="str">
        <f>IF(D18="","",D18-IF(I18="",0,I18)-IF(J18="",0,J18))</f>
        <v/>
      </c>
      <c r="L18" s="215"/>
    </row>
    <row r="19" spans="1:12" ht="14.25" customHeight="1" x14ac:dyDescent="0.25">
      <c r="A19" s="78"/>
      <c r="B19" s="78"/>
      <c r="C19" s="78"/>
      <c r="D19" s="76"/>
      <c r="E19" s="78"/>
      <c r="F19" s="77">
        <v>22</v>
      </c>
      <c r="G19" s="77"/>
      <c r="H19" s="79" t="str">
        <f>IF(OR(F19="",G19=""),"",MAX(0,F19-G19))</f>
        <v/>
      </c>
      <c r="I19" s="86" t="str">
        <f>IF(OR(D19="",F19="",H19=""),"",ROUND((D19/F19)*H19,0))</f>
        <v/>
      </c>
      <c r="J19" s="76">
        <v>0</v>
      </c>
      <c r="K19" s="86" t="str">
        <f>IF(D19="","",D19-IF(I19="",0,I19)-IF(J19="",0,J19))</f>
        <v/>
      </c>
      <c r="L19" s="215"/>
    </row>
    <row r="20" spans="1:12" ht="14.25" customHeight="1" x14ac:dyDescent="0.25">
      <c r="A20" s="81" t="s">
        <v>306</v>
      </c>
      <c r="B20" s="82"/>
      <c r="C20" s="82"/>
      <c r="D20" s="83">
        <f>SUMIF(D16:D19,"&gt;0")</f>
        <v>0</v>
      </c>
      <c r="E20" s="82"/>
      <c r="F20" s="82"/>
      <c r="G20" s="82"/>
      <c r="H20" s="82"/>
      <c r="I20" s="83">
        <f>SUMIF(I16:I19,"&gt;0")</f>
        <v>0</v>
      </c>
      <c r="J20" s="83">
        <f>SUMIF(J16:J19,"&gt;0")</f>
        <v>0</v>
      </c>
      <c r="K20" s="83">
        <f>SUMIF(K16:K19,"&gt;0")</f>
        <v>0</v>
      </c>
      <c r="L20" s="82"/>
    </row>
    <row r="21" spans="1:12" ht="14.25" customHeight="1" x14ac:dyDescent="0.25"/>
    <row r="22" spans="1:12" ht="15" customHeight="1" x14ac:dyDescent="0.25">
      <c r="A22" s="275" t="s">
        <v>308</v>
      </c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3"/>
    </row>
    <row r="23" spans="1:12" ht="14.25" customHeight="1" x14ac:dyDescent="0.25">
      <c r="A23" s="167" t="s">
        <v>64</v>
      </c>
      <c r="B23" s="167" t="s">
        <v>297</v>
      </c>
      <c r="C23" s="167" t="s">
        <v>187</v>
      </c>
      <c r="D23" s="167" t="s">
        <v>298</v>
      </c>
      <c r="E23" s="167" t="s">
        <v>251</v>
      </c>
      <c r="F23" s="167" t="s">
        <v>299</v>
      </c>
      <c r="G23" s="167" t="s">
        <v>300</v>
      </c>
      <c r="H23" s="167" t="s">
        <v>301</v>
      </c>
      <c r="I23" s="167" t="s">
        <v>302</v>
      </c>
      <c r="J23" s="167" t="s">
        <v>303</v>
      </c>
      <c r="K23" s="167" t="s">
        <v>304</v>
      </c>
      <c r="L23" s="167" t="s">
        <v>305</v>
      </c>
    </row>
    <row r="24" spans="1:12" ht="15" customHeight="1" x14ac:dyDescent="0.25">
      <c r="A24" s="168" t="s">
        <v>309</v>
      </c>
      <c r="B24" s="78" t="s">
        <v>310</v>
      </c>
      <c r="C24" s="78" t="s">
        <v>191</v>
      </c>
      <c r="D24" s="76">
        <v>90000</v>
      </c>
      <c r="E24" s="78" t="s">
        <v>311</v>
      </c>
      <c r="F24" s="77">
        <v>22</v>
      </c>
      <c r="G24" s="77">
        <v>11</v>
      </c>
      <c r="H24" s="79">
        <f>IF(OR(F24="",G24=""),"",MAX(0,F24-G24))</f>
        <v>11</v>
      </c>
      <c r="I24" s="86">
        <f>IF(OR(D24="",F24="",H24=""),"",ROUND((D24/F24)*H24,0))</f>
        <v>45000</v>
      </c>
      <c r="J24" s="76">
        <v>0</v>
      </c>
      <c r="K24" s="86">
        <f>IF(D24="","",D24-IF(I24="",0,I24)-IF(J24="",0,J24))</f>
        <v>45000</v>
      </c>
      <c r="L24" s="197">
        <v>46240</v>
      </c>
    </row>
    <row r="25" spans="1:12" ht="15" customHeight="1" x14ac:dyDescent="0.25">
      <c r="A25" s="168" t="s">
        <v>312</v>
      </c>
      <c r="B25" s="78" t="s">
        <v>313</v>
      </c>
      <c r="C25" s="78" t="s">
        <v>191</v>
      </c>
      <c r="D25" s="76">
        <v>90000</v>
      </c>
      <c r="E25" s="78" t="s">
        <v>311</v>
      </c>
      <c r="F25" s="77">
        <v>22</v>
      </c>
      <c r="G25" s="77">
        <v>11</v>
      </c>
      <c r="H25" s="79">
        <f>IF(OR(F25="",G25=""),"",MAX(0,F25-G25))</f>
        <v>11</v>
      </c>
      <c r="I25" s="86">
        <f>IF(OR(D25="",F25="",H25=""),"",ROUND((D25/F25)*H25,0))</f>
        <v>45000</v>
      </c>
      <c r="J25" s="76">
        <v>0</v>
      </c>
      <c r="K25" s="86">
        <f>IF(D25="","",D25-IF(I25="",0,I25)-IF(J25="",0,J25))</f>
        <v>45000</v>
      </c>
      <c r="L25" s="197">
        <v>46240</v>
      </c>
    </row>
    <row r="26" spans="1:12" ht="15" customHeight="1" x14ac:dyDescent="0.25">
      <c r="A26" s="168"/>
      <c r="B26" s="78"/>
      <c r="C26" s="78"/>
      <c r="D26" s="76"/>
      <c r="E26" s="78"/>
      <c r="F26" s="77">
        <v>22</v>
      </c>
      <c r="G26" s="77"/>
      <c r="H26" s="79" t="str">
        <f>IF(OR(F26="",G26=""),"",MAX(0,F26-G26))</f>
        <v/>
      </c>
      <c r="I26" s="86" t="str">
        <f>IF(OR(D26="",F26="",H26=""),"",ROUND((D26/F26)*H26,0))</f>
        <v/>
      </c>
      <c r="J26" s="76">
        <v>0</v>
      </c>
      <c r="K26" s="86" t="str">
        <f>IF(D26="","",D26-IF(I26="",0,I26)-IF(J26="",0,J26))</f>
        <v/>
      </c>
      <c r="L26" s="197"/>
    </row>
    <row r="27" spans="1:12" ht="15" customHeight="1" x14ac:dyDescent="0.25">
      <c r="A27" s="168"/>
      <c r="B27" s="78"/>
      <c r="C27" s="78"/>
      <c r="D27" s="76"/>
      <c r="E27" s="78"/>
      <c r="F27" s="77">
        <v>22</v>
      </c>
      <c r="G27" s="77"/>
      <c r="H27" s="79" t="str">
        <f>IF(OR(F27="",G27=""),"",MAX(0,F27-G27))</f>
        <v/>
      </c>
      <c r="I27" s="86" t="str">
        <f>IF(OR(D27="",F27="",H27=""),"",ROUND((D27/F27)*H27,0))</f>
        <v/>
      </c>
      <c r="J27" s="76">
        <v>0</v>
      </c>
      <c r="K27" s="86" t="str">
        <f>IF(D27="","",D27-IF(I27="",0,I27)-IF(J27="",0,J27))</f>
        <v/>
      </c>
      <c r="L27" s="197"/>
    </row>
    <row r="28" spans="1:12" ht="15" customHeight="1" x14ac:dyDescent="0.25">
      <c r="A28" s="81" t="s">
        <v>306</v>
      </c>
      <c r="B28" s="82"/>
      <c r="C28" s="82"/>
      <c r="D28" s="83">
        <f>SUMIF(D24:D27,"&gt;0")</f>
        <v>180000</v>
      </c>
      <c r="E28" s="82"/>
      <c r="F28" s="82"/>
      <c r="G28" s="82"/>
      <c r="H28" s="82"/>
      <c r="I28" s="83">
        <f>SUMIF(I24:I27,"&gt;0")</f>
        <v>90000</v>
      </c>
      <c r="J28" s="83">
        <f>SUMIF(J24:J27,"&gt;0")</f>
        <v>0</v>
      </c>
      <c r="K28" s="83">
        <f>SUMIF(K24:K27,"&gt;0")</f>
        <v>90000</v>
      </c>
      <c r="L28" s="82"/>
    </row>
    <row r="30" spans="1:12" ht="15" customHeight="1" x14ac:dyDescent="0.25">
      <c r="A30" s="89" t="s">
        <v>122</v>
      </c>
      <c r="B30" s="91"/>
      <c r="C30" s="91"/>
      <c r="D30" s="92">
        <f>D12+D20+D28</f>
        <v>180000</v>
      </c>
      <c r="E30" s="91"/>
      <c r="F30" s="91"/>
      <c r="G30" s="91"/>
      <c r="H30" s="91"/>
      <c r="I30" s="92">
        <f>I12+I20+I28</f>
        <v>90000</v>
      </c>
      <c r="J30" s="92">
        <f>J12+J20+J28</f>
        <v>0</v>
      </c>
      <c r="K30" s="92">
        <f>K12+K20+K28</f>
        <v>90000</v>
      </c>
      <c r="L30" s="91"/>
    </row>
    <row r="32" spans="1:12" ht="15" customHeight="1" x14ac:dyDescent="0.25">
      <c r="A32" s="273" t="s">
        <v>314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</row>
    <row r="33" spans="1:12" ht="15" customHeight="1" x14ac:dyDescent="0.25">
      <c r="A33" s="273" t="s">
        <v>315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</row>
    <row r="34" spans="1:12" ht="15" customHeight="1" x14ac:dyDescent="0.25">
      <c r="A34" s="93" t="s">
        <v>316</v>
      </c>
    </row>
  </sheetData>
  <mergeCells count="7">
    <mergeCell ref="A2:L2"/>
    <mergeCell ref="A33:L33"/>
    <mergeCell ref="A1:L1"/>
    <mergeCell ref="A32:L32"/>
    <mergeCell ref="A14:L14"/>
    <mergeCell ref="A22:L22"/>
    <mergeCell ref="A4:L4"/>
  </mergeCell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42"/>
  <sheetViews>
    <sheetView topLeftCell="A4" zoomScaleNormal="100" workbookViewId="0">
      <selection activeCell="C20" sqref="C20:D20"/>
    </sheetView>
  </sheetViews>
  <sheetFormatPr defaultColWidth="8.5703125" defaultRowHeight="15" x14ac:dyDescent="0.25"/>
  <cols>
    <col min="1" max="1" width="18" style="188" customWidth="1"/>
    <col min="2" max="5" width="14" style="188" customWidth="1"/>
    <col min="6" max="7" width="12" style="188" customWidth="1"/>
  </cols>
  <sheetData>
    <row r="1" spans="1:6" ht="9.75" customHeight="1" x14ac:dyDescent="0.25"/>
    <row r="2" spans="1:6" ht="18" customHeight="1" x14ac:dyDescent="0.25">
      <c r="A2" s="284" t="s">
        <v>317</v>
      </c>
      <c r="B2" s="221"/>
      <c r="C2" s="221"/>
      <c r="D2" s="221"/>
      <c r="E2" s="221"/>
      <c r="F2" s="221"/>
    </row>
    <row r="3" spans="1:6" ht="18" customHeight="1" x14ac:dyDescent="0.25">
      <c r="A3" s="238" t="s">
        <v>318</v>
      </c>
      <c r="B3" s="221"/>
      <c r="C3" s="221"/>
      <c r="D3" s="221"/>
      <c r="E3" s="221"/>
      <c r="F3" s="221"/>
    </row>
    <row r="4" spans="1:6" ht="18" customHeight="1" x14ac:dyDescent="0.25"/>
    <row r="5" spans="1:6" ht="27.75" customHeight="1" x14ac:dyDescent="0.25">
      <c r="A5" s="286" t="s">
        <v>319</v>
      </c>
      <c r="B5" s="221"/>
      <c r="C5" s="221"/>
      <c r="D5" s="221"/>
      <c r="E5" s="221"/>
      <c r="F5" s="221"/>
    </row>
    <row r="6" spans="1:6" ht="18" customHeight="1" x14ac:dyDescent="0.25"/>
    <row r="7" spans="1:6" ht="18" customHeight="1" x14ac:dyDescent="0.25">
      <c r="A7" s="191" t="s">
        <v>320</v>
      </c>
      <c r="B7" s="169" t="s">
        <v>309</v>
      </c>
      <c r="C7" s="170" t="s">
        <v>321</v>
      </c>
      <c r="D7" s="77" t="s">
        <v>311</v>
      </c>
      <c r="E7" s="189"/>
    </row>
    <row r="8" spans="1:6" ht="18" customHeight="1" x14ac:dyDescent="0.25"/>
    <row r="9" spans="1:6" ht="18" customHeight="1" x14ac:dyDescent="0.25">
      <c r="A9" s="191" t="s">
        <v>322</v>
      </c>
      <c r="B9" s="190" t="str">
        <f>IF(OR(B7="",D7=""),"","REC-"&amp;B7&amp;"-"&amp;SUBSTITUTE(D7,"/","-"))</f>
        <v>REC-001-Julho</v>
      </c>
      <c r="C9" s="170" t="s">
        <v>323</v>
      </c>
      <c r="D9" s="216">
        <f ca="1">TODAY()</f>
        <v>46255</v>
      </c>
    </row>
    <row r="10" spans="1:6" ht="18" customHeight="1" x14ac:dyDescent="0.25"/>
    <row r="11" spans="1:6" ht="18" customHeight="1" x14ac:dyDescent="0.25">
      <c r="A11" s="288" t="s">
        <v>324</v>
      </c>
      <c r="B11" s="221"/>
      <c r="C11" s="221"/>
      <c r="D11" s="221"/>
      <c r="E11" s="221"/>
      <c r="F11" s="221"/>
    </row>
    <row r="12" spans="1:6" ht="18" customHeight="1" x14ac:dyDescent="0.25">
      <c r="A12" s="191" t="s">
        <v>325</v>
      </c>
      <c r="B12" s="190" t="str">
        <f>IF(B7="","",B7)</f>
        <v>001</v>
      </c>
      <c r="C12" s="170" t="s">
        <v>326</v>
      </c>
      <c r="D12" s="287" t="str">
        <f>IF(B7="","",IFERROR(INDEX(Salários!B:B,MATCH(B7&amp;"",Salários!A:A,0)),IFERROR(INDEX(Salários!B:B,MATCH(B7,Salários!A:A,0)),"—")))</f>
        <v>Adelaide Francisco Caculo</v>
      </c>
      <c r="E12" s="225"/>
      <c r="F12" s="223"/>
    </row>
    <row r="13" spans="1:6" ht="18" customHeight="1" x14ac:dyDescent="0.25">
      <c r="A13" s="191" t="s">
        <v>327</v>
      </c>
      <c r="B13" s="287" t="str">
        <f>IF(B7="","",IFERROR(INDEX(Salários!C:C,MATCH(B7&amp;"",Salários!A:A,0)),IFERROR(INDEX(Salários!C:C,MATCH(B7,Salários!A:A,0)),"—")))</f>
        <v>Empregada Limpeza</v>
      </c>
      <c r="C13" s="223"/>
      <c r="D13" s="170" t="s">
        <v>328</v>
      </c>
      <c r="E13" s="190" t="str">
        <f>IF(D7="","",D7)</f>
        <v>Julho</v>
      </c>
    </row>
    <row r="14" spans="1:6" ht="18" customHeight="1" x14ac:dyDescent="0.25"/>
    <row r="15" spans="1:6" ht="18" customHeight="1" x14ac:dyDescent="0.25">
      <c r="A15" s="288" t="s">
        <v>329</v>
      </c>
      <c r="B15" s="221"/>
      <c r="C15" s="221"/>
      <c r="D15" s="221"/>
      <c r="E15" s="221"/>
      <c r="F15" s="221"/>
    </row>
    <row r="16" spans="1:6" ht="18" customHeight="1" x14ac:dyDescent="0.25">
      <c r="A16" s="282" t="s">
        <v>330</v>
      </c>
      <c r="B16" s="221"/>
      <c r="C16" s="285">
        <f>IF(OR(B7="",D7=""),"",IFERROR(SUMIFS(Salários!D:D,Salários!A:A,B7&amp;"",Salários!E:E,D7),IFERROR(SUMIFS(Salários!D:D,Salários!A:A,B7,Salários!E:E,D7),0)))</f>
        <v>90000</v>
      </c>
      <c r="D16" s="223"/>
    </row>
    <row r="17" spans="1:6" ht="18" customHeight="1" x14ac:dyDescent="0.25">
      <c r="A17" s="279" t="s">
        <v>331</v>
      </c>
      <c r="B17" s="221"/>
      <c r="C17" s="281">
        <f>IF(OR(B7="",D7=""),"",IFERROR(SUMIFS(Salários!F:F,Salários!A:A,B7&amp;"",Salários!E:E,D7),IFERROR(SUMIFS(Salários!F:F,Salários!A:A,B7,Salários!E:E,D7),0)))</f>
        <v>22</v>
      </c>
      <c r="D17" s="223"/>
    </row>
    <row r="18" spans="1:6" ht="18" customHeight="1" x14ac:dyDescent="0.25">
      <c r="A18" s="282" t="s">
        <v>332</v>
      </c>
      <c r="B18" s="221"/>
      <c r="C18" s="281">
        <f>IF(OR(B7="",D7=""),"",IFERROR(SUMIFS(Salários!G:G,Salários!A:A,B7&amp;"",Salários!E:E,D7),IFERROR(SUMIFS(Salários!G:G,Salários!A:A,B7,Salários!E:E,D7),0)))</f>
        <v>11</v>
      </c>
      <c r="D18" s="223"/>
    </row>
    <row r="19" spans="1:6" ht="18" customHeight="1" x14ac:dyDescent="0.25">
      <c r="A19" s="279" t="s">
        <v>333</v>
      </c>
      <c r="B19" s="221"/>
      <c r="C19" s="281">
        <f>IF(OR(B7="",D7=""),"",IFERROR(SUMIFS(Salários!H:H,Salários!A:A,B7&amp;"",Salários!E:E,D7),IFERROR(SUMIFS(Salários!H:H,Salários!A:A,B7,Salários!E:E,D7),0)))</f>
        <v>11</v>
      </c>
      <c r="D19" s="223"/>
    </row>
    <row r="20" spans="1:6" ht="18" customHeight="1" x14ac:dyDescent="0.25">
      <c r="A20" s="282" t="s">
        <v>334</v>
      </c>
      <c r="B20" s="221"/>
      <c r="C20" s="285">
        <f>IF(OR(B7="",D7=""),"",IFERROR(SUMIFS(Salários!I:I,Salários!A:A,B7&amp;"",Salários!E:E,D7),IFERROR(SUMIFS(Salários!I:I,Salários!A:A,B7,Salários!E:E,D7),0)))</f>
        <v>45000</v>
      </c>
      <c r="D20" s="223"/>
    </row>
    <row r="21" spans="1:6" ht="18" customHeight="1" x14ac:dyDescent="0.25">
      <c r="A21" s="279" t="s">
        <v>335</v>
      </c>
      <c r="B21" s="221"/>
      <c r="C21" s="285">
        <f>IF(OR(B7="",D7=""),"",IFERROR(SUMIFS(Salários!J:J,Salários!A:A,B7&amp;"",Salários!E:E,D7),IFERROR(SUMIFS(Salários!J:J,Salários!A:A,B7,Salários!E:E,D7),0)))</f>
        <v>0</v>
      </c>
      <c r="D21" s="223"/>
    </row>
    <row r="22" spans="1:6" ht="18" customHeight="1" x14ac:dyDescent="0.25"/>
    <row r="23" spans="1:6" ht="24" customHeight="1" x14ac:dyDescent="0.25">
      <c r="A23" s="278" t="s">
        <v>336</v>
      </c>
      <c r="B23" s="221"/>
      <c r="C23" s="280">
        <f>IF(OR(B7="",D7=""),"",IFERROR(SUMIFS(Salários!K:K,Salários!A:A,B7&amp;"",Salários!E:E,D7),IFERROR(SUMIFS(Salários!K:K,Salários!A:A,B7,Salários!E:E,D7),0)))</f>
        <v>45000</v>
      </c>
      <c r="D23" s="225"/>
    </row>
    <row r="24" spans="1:6" ht="18" customHeight="1" x14ac:dyDescent="0.25">
      <c r="A24" s="191" t="s">
        <v>337</v>
      </c>
      <c r="C24" s="290">
        <f>IF(OR(B7="",D7=""),"",IFERROR(LOOKUP(2,1/((Salários!A6:A27&amp;""=B7&amp;"")*(Salários!E6:E27=D7)),Salários!L6:L27),""))</f>
        <v>46240</v>
      </c>
      <c r="D24" s="223"/>
    </row>
    <row r="25" spans="1:6" ht="18" customHeight="1" x14ac:dyDescent="0.25"/>
    <row r="26" spans="1:6" ht="18" customHeight="1" x14ac:dyDescent="0.25">
      <c r="A26" s="288" t="s">
        <v>338</v>
      </c>
      <c r="B26" s="221"/>
      <c r="C26" s="221"/>
      <c r="D26" s="221"/>
      <c r="E26" s="221"/>
      <c r="F26" s="221"/>
    </row>
    <row r="27" spans="1:6" ht="18" customHeight="1" x14ac:dyDescent="0.25"/>
    <row r="28" spans="1:6" ht="18" customHeight="1" x14ac:dyDescent="0.25">
      <c r="A28" s="283" t="s">
        <v>339</v>
      </c>
      <c r="B28" s="221"/>
      <c r="D28" s="283" t="s">
        <v>340</v>
      </c>
      <c r="E28" s="221"/>
      <c r="F28" s="221"/>
    </row>
    <row r="29" spans="1:6" ht="18" customHeight="1" x14ac:dyDescent="0.25"/>
    <row r="30" spans="1:6" ht="18" customHeight="1" x14ac:dyDescent="0.25">
      <c r="A30" s="289" t="s">
        <v>341</v>
      </c>
      <c r="B30" s="221"/>
      <c r="D30" s="289" t="s">
        <v>341</v>
      </c>
      <c r="E30" s="221"/>
      <c r="F30" s="221"/>
    </row>
    <row r="31" spans="1:6" ht="18" customHeight="1" x14ac:dyDescent="0.25">
      <c r="A31" s="238" t="s">
        <v>342</v>
      </c>
      <c r="B31" s="221"/>
      <c r="D31" s="238" t="s">
        <v>342</v>
      </c>
      <c r="E31" s="221"/>
      <c r="F31" s="221"/>
    </row>
    <row r="32" spans="1:6" ht="18" customHeight="1" x14ac:dyDescent="0.25"/>
    <row r="33" spans="1:6" ht="18" customHeight="1" x14ac:dyDescent="0.25">
      <c r="A33" s="238"/>
      <c r="B33" s="221"/>
      <c r="C33" s="221"/>
      <c r="D33" s="221"/>
      <c r="E33" s="221"/>
      <c r="F33" s="221"/>
    </row>
    <row r="34" spans="1:6" ht="18" customHeight="1" x14ac:dyDescent="0.25">
      <c r="A34" s="277" t="s">
        <v>343</v>
      </c>
      <c r="B34" s="221"/>
      <c r="C34" s="221"/>
      <c r="D34" s="221"/>
      <c r="E34" s="221"/>
      <c r="F34" s="221"/>
    </row>
    <row r="36" spans="1:6" ht="15" customHeight="1" x14ac:dyDescent="0.25"/>
    <row r="37" spans="1:6" ht="15" customHeight="1" x14ac:dyDescent="0.25"/>
    <row r="39" spans="1:6" ht="15" customHeight="1" x14ac:dyDescent="0.25"/>
    <row r="40" spans="1:6" ht="15" customHeight="1" x14ac:dyDescent="0.25"/>
    <row r="42" spans="1:6" ht="15" customHeight="1" x14ac:dyDescent="0.25"/>
  </sheetData>
  <mergeCells count="31">
    <mergeCell ref="A2:F2"/>
    <mergeCell ref="D28:F28"/>
    <mergeCell ref="A16:B16"/>
    <mergeCell ref="C16:D16"/>
    <mergeCell ref="A5:F5"/>
    <mergeCell ref="D12:F12"/>
    <mergeCell ref="A18:B18"/>
    <mergeCell ref="B13:C13"/>
    <mergeCell ref="A21:B21"/>
    <mergeCell ref="C21:D21"/>
    <mergeCell ref="A15:F15"/>
    <mergeCell ref="A11:F11"/>
    <mergeCell ref="C24:D24"/>
    <mergeCell ref="A3:F3"/>
    <mergeCell ref="A26:F26"/>
    <mergeCell ref="C20:D20"/>
    <mergeCell ref="A34:F34"/>
    <mergeCell ref="A23:B23"/>
    <mergeCell ref="A17:B17"/>
    <mergeCell ref="C23:D23"/>
    <mergeCell ref="C17:D17"/>
    <mergeCell ref="A20:B20"/>
    <mergeCell ref="D31:F31"/>
    <mergeCell ref="A19:B19"/>
    <mergeCell ref="C19:D19"/>
    <mergeCell ref="A28:B28"/>
    <mergeCell ref="C18:D18"/>
    <mergeCell ref="A31:B31"/>
    <mergeCell ref="A30:B30"/>
    <mergeCell ref="A33:F33"/>
    <mergeCell ref="D30:F30"/>
  </mergeCells>
  <printOptions horizontalCentered="1" vertic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5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8.5703125" defaultRowHeight="15" x14ac:dyDescent="0.25"/>
  <cols>
    <col min="1" max="1" width="12" style="188" customWidth="1"/>
    <col min="2" max="2" width="14" style="188" customWidth="1"/>
    <col min="3" max="3" width="32" style="188" customWidth="1"/>
    <col min="4" max="4" width="16" style="188" customWidth="1"/>
    <col min="5" max="7" width="12" style="188" customWidth="1"/>
    <col min="8" max="8" width="14" style="188" customWidth="1"/>
    <col min="9" max="9" width="28" style="188" customWidth="1"/>
    <col min="10" max="10" width="12" style="188" customWidth="1"/>
  </cols>
  <sheetData>
    <row r="1" spans="1:10" ht="21.75" customHeight="1" x14ac:dyDescent="0.25">
      <c r="A1" s="272" t="s">
        <v>344</v>
      </c>
      <c r="B1" s="221"/>
      <c r="C1" s="221"/>
      <c r="D1" s="221"/>
      <c r="E1" s="221"/>
      <c r="F1" s="221"/>
      <c r="G1" s="221"/>
      <c r="H1" s="221"/>
      <c r="I1" s="221"/>
      <c r="J1" s="221"/>
    </row>
    <row r="2" spans="1:10" ht="15" customHeight="1" x14ac:dyDescent="0.25">
      <c r="A2" s="273" t="s">
        <v>345</v>
      </c>
      <c r="B2" s="221"/>
      <c r="C2" s="221"/>
      <c r="D2" s="221"/>
      <c r="E2" s="221"/>
      <c r="F2" s="221"/>
      <c r="G2" s="221"/>
      <c r="H2" s="221"/>
      <c r="I2" s="221"/>
      <c r="J2" s="221"/>
    </row>
    <row r="4" spans="1:10" ht="30" customHeight="1" x14ac:dyDescent="0.25">
      <c r="A4" s="167" t="s">
        <v>346</v>
      </c>
      <c r="B4" s="167" t="s">
        <v>347</v>
      </c>
      <c r="C4" s="167" t="s">
        <v>297</v>
      </c>
      <c r="D4" s="167" t="s">
        <v>186</v>
      </c>
      <c r="E4" s="167" t="s">
        <v>348</v>
      </c>
      <c r="F4" s="167" t="s">
        <v>349</v>
      </c>
      <c r="G4" s="167" t="s">
        <v>350</v>
      </c>
      <c r="H4" s="167" t="s">
        <v>351</v>
      </c>
      <c r="I4" s="167" t="s">
        <v>352</v>
      </c>
      <c r="J4" s="167" t="s">
        <v>138</v>
      </c>
    </row>
    <row r="5" spans="1:10" ht="15" customHeight="1" x14ac:dyDescent="0.25">
      <c r="A5" s="171" t="str">
        <f>IF(B5="","","ADV-"&amp;TEXT(COUNTA($B$5:B5),"000"))</f>
        <v/>
      </c>
      <c r="B5" s="172"/>
      <c r="C5" s="172"/>
      <c r="D5" s="172"/>
      <c r="E5" s="173"/>
      <c r="F5" s="217"/>
      <c r="G5" s="217"/>
      <c r="H5" s="172"/>
      <c r="I5" s="172"/>
      <c r="J5" s="171" t="str">
        <f t="shared" ref="J5:J50" si="0">IF(B5="","",IF(G5="","Pendente","Entregue"))</f>
        <v/>
      </c>
    </row>
    <row r="6" spans="1:10" ht="15" customHeight="1" x14ac:dyDescent="0.25">
      <c r="A6" s="171" t="str">
        <f>IF(B6="","","ADV-"&amp;TEXT(COUNTA($B$5:B6),"000"))</f>
        <v/>
      </c>
      <c r="B6" s="172"/>
      <c r="C6" s="172"/>
      <c r="D6" s="172"/>
      <c r="E6" s="173"/>
      <c r="F6" s="217"/>
      <c r="G6" s="217"/>
      <c r="H6" s="172"/>
      <c r="I6" s="172"/>
      <c r="J6" s="171" t="str">
        <f t="shared" si="0"/>
        <v/>
      </c>
    </row>
    <row r="7" spans="1:10" ht="15" customHeight="1" x14ac:dyDescent="0.25">
      <c r="A7" s="171" t="str">
        <f>IF(B7="","","ADV-"&amp;TEXT(COUNTA($B$5:B7),"000"))</f>
        <v/>
      </c>
      <c r="B7" s="172"/>
      <c r="C7" s="172"/>
      <c r="D7" s="172"/>
      <c r="E7" s="173"/>
      <c r="F7" s="217"/>
      <c r="G7" s="217"/>
      <c r="H7" s="172"/>
      <c r="I7" s="172"/>
      <c r="J7" s="171" t="str">
        <f t="shared" si="0"/>
        <v/>
      </c>
    </row>
    <row r="8" spans="1:10" ht="15" customHeight="1" x14ac:dyDescent="0.25">
      <c r="A8" s="171" t="str">
        <f>IF(B8="","","ADV-"&amp;TEXT(COUNTA($B$5:B8),"000"))</f>
        <v/>
      </c>
      <c r="B8" s="172"/>
      <c r="C8" s="172"/>
      <c r="D8" s="172"/>
      <c r="E8" s="173"/>
      <c r="F8" s="217"/>
      <c r="G8" s="217"/>
      <c r="H8" s="172"/>
      <c r="I8" s="172"/>
      <c r="J8" s="171" t="str">
        <f t="shared" si="0"/>
        <v/>
      </c>
    </row>
    <row r="9" spans="1:10" ht="15" customHeight="1" x14ac:dyDescent="0.25">
      <c r="A9" s="171" t="str">
        <f>IF(B9="","","ADV-"&amp;TEXT(COUNTA($B$5:B9),"000"))</f>
        <v/>
      </c>
      <c r="B9" s="172"/>
      <c r="C9" s="172"/>
      <c r="D9" s="172"/>
      <c r="E9" s="173"/>
      <c r="F9" s="217"/>
      <c r="G9" s="217"/>
      <c r="H9" s="172"/>
      <c r="I9" s="172"/>
      <c r="J9" s="171" t="str">
        <f t="shared" si="0"/>
        <v/>
      </c>
    </row>
    <row r="10" spans="1:10" ht="15" customHeight="1" x14ac:dyDescent="0.25">
      <c r="A10" s="171" t="str">
        <f>IF(B10="","","ADV-"&amp;TEXT(COUNTA($B$5:B10),"000"))</f>
        <v/>
      </c>
      <c r="B10" s="172"/>
      <c r="C10" s="172"/>
      <c r="D10" s="172"/>
      <c r="E10" s="173"/>
      <c r="F10" s="217"/>
      <c r="G10" s="217"/>
      <c r="H10" s="172"/>
      <c r="I10" s="172"/>
      <c r="J10" s="171" t="str">
        <f t="shared" si="0"/>
        <v/>
      </c>
    </row>
    <row r="11" spans="1:10" ht="15" customHeight="1" x14ac:dyDescent="0.25">
      <c r="A11" s="171" t="str">
        <f>IF(B11="","","ADV-"&amp;TEXT(COUNTA($B$5:B11),"000"))</f>
        <v/>
      </c>
      <c r="B11" s="172"/>
      <c r="C11" s="172"/>
      <c r="D11" s="172"/>
      <c r="E11" s="173"/>
      <c r="F11" s="217"/>
      <c r="G11" s="217"/>
      <c r="H11" s="172"/>
      <c r="I11" s="172"/>
      <c r="J11" s="171" t="str">
        <f t="shared" si="0"/>
        <v/>
      </c>
    </row>
    <row r="12" spans="1:10" ht="15" customHeight="1" x14ac:dyDescent="0.25">
      <c r="A12" s="171" t="str">
        <f>IF(B12="","","ADV-"&amp;TEXT(COUNTA($B$5:B12),"000"))</f>
        <v/>
      </c>
      <c r="B12" s="172"/>
      <c r="C12" s="172"/>
      <c r="D12" s="172"/>
      <c r="E12" s="173"/>
      <c r="F12" s="217"/>
      <c r="G12" s="217"/>
      <c r="H12" s="172"/>
      <c r="I12" s="172"/>
      <c r="J12" s="171" t="str">
        <f t="shared" si="0"/>
        <v/>
      </c>
    </row>
    <row r="13" spans="1:10" ht="15" customHeight="1" x14ac:dyDescent="0.25">
      <c r="A13" s="171" t="str">
        <f>IF(B13="","","ADV-"&amp;TEXT(COUNTA($B$5:B13),"000"))</f>
        <v/>
      </c>
      <c r="B13" s="172"/>
      <c r="C13" s="172"/>
      <c r="D13" s="172"/>
      <c r="E13" s="173"/>
      <c r="F13" s="217"/>
      <c r="G13" s="217"/>
      <c r="H13" s="172"/>
      <c r="I13" s="172"/>
      <c r="J13" s="171" t="str">
        <f t="shared" si="0"/>
        <v/>
      </c>
    </row>
    <row r="14" spans="1:10" ht="15" customHeight="1" x14ac:dyDescent="0.25">
      <c r="A14" s="171" t="str">
        <f>IF(B14="","","ADV-"&amp;TEXT(COUNTA($B$5:B14),"000"))</f>
        <v/>
      </c>
      <c r="B14" s="172"/>
      <c r="C14" s="172"/>
      <c r="D14" s="172"/>
      <c r="E14" s="173"/>
      <c r="F14" s="217"/>
      <c r="G14" s="217"/>
      <c r="H14" s="172"/>
      <c r="I14" s="172"/>
      <c r="J14" s="171" t="str">
        <f t="shared" si="0"/>
        <v/>
      </c>
    </row>
    <row r="15" spans="1:10" ht="15" customHeight="1" x14ac:dyDescent="0.25">
      <c r="A15" s="171" t="str">
        <f>IF(B15="","","ADV-"&amp;TEXT(COUNTA($B$5:B15),"000"))</f>
        <v/>
      </c>
      <c r="B15" s="172"/>
      <c r="C15" s="172"/>
      <c r="D15" s="172"/>
      <c r="E15" s="173"/>
      <c r="F15" s="217"/>
      <c r="G15" s="217"/>
      <c r="H15" s="172"/>
      <c r="I15" s="172"/>
      <c r="J15" s="171" t="str">
        <f t="shared" si="0"/>
        <v/>
      </c>
    </row>
    <row r="16" spans="1:10" ht="15" customHeight="1" x14ac:dyDescent="0.25">
      <c r="A16" s="171" t="str">
        <f>IF(B16="","","ADV-"&amp;TEXT(COUNTA($B$5:B16),"000"))</f>
        <v/>
      </c>
      <c r="B16" s="172"/>
      <c r="C16" s="172"/>
      <c r="D16" s="172"/>
      <c r="E16" s="173"/>
      <c r="F16" s="217"/>
      <c r="G16" s="217"/>
      <c r="H16" s="172"/>
      <c r="I16" s="172"/>
      <c r="J16" s="171" t="str">
        <f t="shared" si="0"/>
        <v/>
      </c>
    </row>
    <row r="17" spans="1:10" ht="15" customHeight="1" x14ac:dyDescent="0.25">
      <c r="A17" s="171" t="str">
        <f>IF(B17="","","ADV-"&amp;TEXT(COUNTA($B$5:B17),"000"))</f>
        <v/>
      </c>
      <c r="B17" s="172"/>
      <c r="C17" s="172"/>
      <c r="D17" s="172"/>
      <c r="E17" s="173"/>
      <c r="F17" s="217"/>
      <c r="G17" s="217"/>
      <c r="H17" s="172"/>
      <c r="I17" s="172"/>
      <c r="J17" s="171" t="str">
        <f t="shared" si="0"/>
        <v/>
      </c>
    </row>
    <row r="18" spans="1:10" ht="15" customHeight="1" x14ac:dyDescent="0.25">
      <c r="A18" s="171" t="str">
        <f>IF(B18="","","ADV-"&amp;TEXT(COUNTA($B$5:B18),"000"))</f>
        <v/>
      </c>
      <c r="B18" s="172"/>
      <c r="C18" s="172"/>
      <c r="D18" s="172"/>
      <c r="E18" s="173"/>
      <c r="F18" s="217"/>
      <c r="G18" s="217"/>
      <c r="H18" s="172"/>
      <c r="I18" s="172"/>
      <c r="J18" s="171" t="str">
        <f t="shared" si="0"/>
        <v/>
      </c>
    </row>
    <row r="19" spans="1:10" ht="15" customHeight="1" x14ac:dyDescent="0.25">
      <c r="A19" s="171" t="str">
        <f>IF(B19="","","ADV-"&amp;TEXT(COUNTA($B$5:B19),"000"))</f>
        <v/>
      </c>
      <c r="B19" s="172"/>
      <c r="C19" s="172"/>
      <c r="D19" s="172"/>
      <c r="E19" s="173"/>
      <c r="F19" s="217"/>
      <c r="G19" s="217"/>
      <c r="H19" s="172"/>
      <c r="I19" s="172"/>
      <c r="J19" s="171" t="str">
        <f t="shared" si="0"/>
        <v/>
      </c>
    </row>
    <row r="20" spans="1:10" ht="15" customHeight="1" x14ac:dyDescent="0.25">
      <c r="A20" s="171" t="str">
        <f>IF(B20="","","ADV-"&amp;TEXT(COUNTA($B$5:B20),"000"))</f>
        <v/>
      </c>
      <c r="B20" s="172"/>
      <c r="C20" s="172"/>
      <c r="D20" s="172"/>
      <c r="E20" s="173"/>
      <c r="F20" s="217"/>
      <c r="G20" s="217"/>
      <c r="H20" s="172"/>
      <c r="I20" s="172"/>
      <c r="J20" s="171" t="str">
        <f t="shared" si="0"/>
        <v/>
      </c>
    </row>
    <row r="21" spans="1:10" ht="15" customHeight="1" x14ac:dyDescent="0.25">
      <c r="A21" s="171" t="str">
        <f>IF(B21="","","ADV-"&amp;TEXT(COUNTA($B$5:B21),"000"))</f>
        <v/>
      </c>
      <c r="B21" s="172"/>
      <c r="C21" s="172"/>
      <c r="D21" s="172"/>
      <c r="E21" s="173"/>
      <c r="F21" s="217"/>
      <c r="G21" s="217"/>
      <c r="H21" s="172"/>
      <c r="I21" s="172"/>
      <c r="J21" s="171" t="str">
        <f t="shared" si="0"/>
        <v/>
      </c>
    </row>
    <row r="22" spans="1:10" ht="15" customHeight="1" x14ac:dyDescent="0.25">
      <c r="A22" s="171" t="str">
        <f>IF(B22="","","ADV-"&amp;TEXT(COUNTA($B$5:B22),"000"))</f>
        <v/>
      </c>
      <c r="B22" s="172"/>
      <c r="C22" s="172"/>
      <c r="D22" s="172"/>
      <c r="E22" s="173"/>
      <c r="F22" s="217"/>
      <c r="G22" s="217"/>
      <c r="H22" s="172"/>
      <c r="I22" s="172"/>
      <c r="J22" s="171" t="str">
        <f t="shared" si="0"/>
        <v/>
      </c>
    </row>
    <row r="23" spans="1:10" ht="15" customHeight="1" x14ac:dyDescent="0.25">
      <c r="A23" s="171" t="str">
        <f>IF(B23="","","ADV-"&amp;TEXT(COUNTA($B$5:B23),"000"))</f>
        <v/>
      </c>
      <c r="B23" s="172"/>
      <c r="C23" s="172"/>
      <c r="D23" s="172"/>
      <c r="E23" s="173"/>
      <c r="F23" s="217"/>
      <c r="G23" s="217"/>
      <c r="H23" s="172"/>
      <c r="I23" s="172"/>
      <c r="J23" s="171" t="str">
        <f t="shared" si="0"/>
        <v/>
      </c>
    </row>
    <row r="24" spans="1:10" ht="15" customHeight="1" x14ac:dyDescent="0.25">
      <c r="A24" s="171" t="str">
        <f>IF(B24="","","ADV-"&amp;TEXT(COUNTA($B$5:B24),"000"))</f>
        <v/>
      </c>
      <c r="B24" s="172"/>
      <c r="C24" s="172"/>
      <c r="D24" s="172"/>
      <c r="E24" s="173"/>
      <c r="F24" s="217"/>
      <c r="G24" s="217"/>
      <c r="H24" s="172"/>
      <c r="I24" s="172"/>
      <c r="J24" s="171" t="str">
        <f t="shared" si="0"/>
        <v/>
      </c>
    </row>
    <row r="25" spans="1:10" ht="15" customHeight="1" x14ac:dyDescent="0.25">
      <c r="A25" s="171" t="str">
        <f>IF(B25="","","ADV-"&amp;TEXT(COUNTA($B$5:B25),"000"))</f>
        <v/>
      </c>
      <c r="B25" s="172"/>
      <c r="C25" s="172"/>
      <c r="D25" s="172"/>
      <c r="E25" s="173"/>
      <c r="F25" s="217"/>
      <c r="G25" s="217"/>
      <c r="H25" s="172"/>
      <c r="I25" s="172"/>
      <c r="J25" s="171" t="str">
        <f t="shared" si="0"/>
        <v/>
      </c>
    </row>
    <row r="26" spans="1:10" ht="15" customHeight="1" x14ac:dyDescent="0.25">
      <c r="A26" s="171" t="str">
        <f>IF(B26="","","ADV-"&amp;TEXT(COUNTA($B$5:B26),"000"))</f>
        <v/>
      </c>
      <c r="B26" s="172"/>
      <c r="C26" s="172"/>
      <c r="D26" s="172"/>
      <c r="E26" s="173"/>
      <c r="F26" s="217"/>
      <c r="G26" s="217"/>
      <c r="H26" s="172"/>
      <c r="I26" s="172"/>
      <c r="J26" s="171" t="str">
        <f t="shared" si="0"/>
        <v/>
      </c>
    </row>
    <row r="27" spans="1:10" ht="15" customHeight="1" x14ac:dyDescent="0.25">
      <c r="A27" s="171" t="str">
        <f>IF(B27="","","ADV-"&amp;TEXT(COUNTA($B$5:B27),"000"))</f>
        <v/>
      </c>
      <c r="B27" s="172"/>
      <c r="C27" s="172"/>
      <c r="D27" s="172"/>
      <c r="E27" s="173"/>
      <c r="F27" s="217"/>
      <c r="G27" s="217"/>
      <c r="H27" s="172"/>
      <c r="I27" s="172"/>
      <c r="J27" s="171" t="str">
        <f t="shared" si="0"/>
        <v/>
      </c>
    </row>
    <row r="28" spans="1:10" ht="15" customHeight="1" x14ac:dyDescent="0.25">
      <c r="A28" s="171" t="str">
        <f>IF(B28="","","ADV-"&amp;TEXT(COUNTA($B$5:B28),"000"))</f>
        <v/>
      </c>
      <c r="B28" s="172"/>
      <c r="C28" s="172"/>
      <c r="D28" s="172"/>
      <c r="E28" s="173"/>
      <c r="F28" s="217"/>
      <c r="G28" s="217"/>
      <c r="H28" s="172"/>
      <c r="I28" s="172"/>
      <c r="J28" s="171" t="str">
        <f t="shared" si="0"/>
        <v/>
      </c>
    </row>
    <row r="29" spans="1:10" ht="15" customHeight="1" x14ac:dyDescent="0.25">
      <c r="A29" s="171" t="str">
        <f>IF(B29="","","ADV-"&amp;TEXT(COUNTA($B$5:B29),"000"))</f>
        <v/>
      </c>
      <c r="B29" s="172"/>
      <c r="C29" s="172"/>
      <c r="D29" s="172"/>
      <c r="E29" s="173"/>
      <c r="F29" s="217"/>
      <c r="G29" s="217"/>
      <c r="H29" s="172"/>
      <c r="I29" s="172"/>
      <c r="J29" s="171" t="str">
        <f t="shared" si="0"/>
        <v/>
      </c>
    </row>
    <row r="30" spans="1:10" ht="15" customHeight="1" x14ac:dyDescent="0.25">
      <c r="A30" s="171" t="str">
        <f>IF(B30="","","ADV-"&amp;TEXT(COUNTA($B$5:B30),"000"))</f>
        <v/>
      </c>
      <c r="B30" s="172"/>
      <c r="C30" s="172"/>
      <c r="D30" s="172"/>
      <c r="E30" s="173"/>
      <c r="F30" s="217"/>
      <c r="G30" s="217"/>
      <c r="H30" s="172"/>
      <c r="I30" s="172"/>
      <c r="J30" s="171" t="str">
        <f t="shared" si="0"/>
        <v/>
      </c>
    </row>
    <row r="31" spans="1:10" ht="15" customHeight="1" x14ac:dyDescent="0.25">
      <c r="A31" s="171" t="str">
        <f>IF(B31="","","ADV-"&amp;TEXT(COUNTA($B$5:B31),"000"))</f>
        <v/>
      </c>
      <c r="B31" s="172"/>
      <c r="C31" s="172"/>
      <c r="D31" s="172"/>
      <c r="E31" s="173"/>
      <c r="F31" s="217"/>
      <c r="G31" s="217"/>
      <c r="H31" s="172"/>
      <c r="I31" s="172"/>
      <c r="J31" s="171" t="str">
        <f t="shared" si="0"/>
        <v/>
      </c>
    </row>
    <row r="32" spans="1:10" ht="15" customHeight="1" x14ac:dyDescent="0.25">
      <c r="A32" s="171" t="str">
        <f>IF(B32="","","ADV-"&amp;TEXT(COUNTA($B$5:B32),"000"))</f>
        <v/>
      </c>
      <c r="B32" s="172"/>
      <c r="C32" s="172"/>
      <c r="D32" s="172"/>
      <c r="E32" s="173"/>
      <c r="F32" s="217"/>
      <c r="G32" s="217"/>
      <c r="H32" s="172"/>
      <c r="I32" s="172"/>
      <c r="J32" s="171" t="str">
        <f t="shared" si="0"/>
        <v/>
      </c>
    </row>
    <row r="33" spans="1:10" ht="15" customHeight="1" x14ac:dyDescent="0.25">
      <c r="A33" s="171" t="str">
        <f>IF(B33="","","ADV-"&amp;TEXT(COUNTA($B$5:B33),"000"))</f>
        <v/>
      </c>
      <c r="B33" s="172"/>
      <c r="C33" s="172"/>
      <c r="D33" s="172"/>
      <c r="E33" s="173"/>
      <c r="F33" s="217"/>
      <c r="G33" s="217"/>
      <c r="H33" s="172"/>
      <c r="I33" s="172"/>
      <c r="J33" s="171" t="str">
        <f t="shared" si="0"/>
        <v/>
      </c>
    </row>
    <row r="34" spans="1:10" ht="15" customHeight="1" x14ac:dyDescent="0.25">
      <c r="A34" s="171" t="str">
        <f>IF(B34="","","ADV-"&amp;TEXT(COUNTA($B$5:B34),"000"))</f>
        <v/>
      </c>
      <c r="B34" s="172"/>
      <c r="C34" s="172"/>
      <c r="D34" s="172"/>
      <c r="E34" s="173"/>
      <c r="F34" s="217"/>
      <c r="G34" s="217"/>
      <c r="H34" s="172"/>
      <c r="I34" s="172"/>
      <c r="J34" s="171" t="str">
        <f t="shared" si="0"/>
        <v/>
      </c>
    </row>
    <row r="35" spans="1:10" ht="15" customHeight="1" x14ac:dyDescent="0.25">
      <c r="A35" s="171" t="str">
        <f>IF(B35="","","ADV-"&amp;TEXT(COUNTA($B$5:B35),"000"))</f>
        <v/>
      </c>
      <c r="B35" s="172"/>
      <c r="C35" s="172"/>
      <c r="D35" s="172"/>
      <c r="E35" s="173"/>
      <c r="F35" s="217"/>
      <c r="G35" s="217"/>
      <c r="H35" s="172"/>
      <c r="I35" s="172"/>
      <c r="J35" s="171" t="str">
        <f t="shared" si="0"/>
        <v/>
      </c>
    </row>
    <row r="36" spans="1:10" ht="15" customHeight="1" x14ac:dyDescent="0.25">
      <c r="A36" s="171" t="str">
        <f>IF(B36="","","ADV-"&amp;TEXT(COUNTA($B$5:B36),"000"))</f>
        <v/>
      </c>
      <c r="B36" s="172"/>
      <c r="C36" s="172"/>
      <c r="D36" s="172"/>
      <c r="E36" s="173"/>
      <c r="F36" s="217"/>
      <c r="G36" s="217"/>
      <c r="H36" s="172"/>
      <c r="I36" s="172"/>
      <c r="J36" s="171" t="str">
        <f t="shared" si="0"/>
        <v/>
      </c>
    </row>
    <row r="37" spans="1:10" ht="15" customHeight="1" x14ac:dyDescent="0.25">
      <c r="A37" s="171" t="str">
        <f>IF(B37="","","ADV-"&amp;TEXT(COUNTA($B$5:B37),"000"))</f>
        <v/>
      </c>
      <c r="B37" s="172"/>
      <c r="C37" s="172"/>
      <c r="D37" s="172"/>
      <c r="E37" s="173"/>
      <c r="F37" s="217"/>
      <c r="G37" s="217"/>
      <c r="H37" s="172"/>
      <c r="I37" s="172"/>
      <c r="J37" s="171" t="str">
        <f t="shared" si="0"/>
        <v/>
      </c>
    </row>
    <row r="38" spans="1:10" ht="15" customHeight="1" x14ac:dyDescent="0.25">
      <c r="A38" s="171" t="str">
        <f>IF(B38="","","ADV-"&amp;TEXT(COUNTA($B$5:B38),"000"))</f>
        <v/>
      </c>
      <c r="B38" s="172"/>
      <c r="C38" s="172"/>
      <c r="D38" s="172"/>
      <c r="E38" s="173"/>
      <c r="F38" s="217"/>
      <c r="G38" s="217"/>
      <c r="H38" s="172"/>
      <c r="I38" s="172"/>
      <c r="J38" s="171" t="str">
        <f t="shared" si="0"/>
        <v/>
      </c>
    </row>
    <row r="39" spans="1:10" ht="15" customHeight="1" x14ac:dyDescent="0.25">
      <c r="A39" s="171" t="str">
        <f>IF(B39="","","ADV-"&amp;TEXT(COUNTA($B$5:B39),"000"))</f>
        <v/>
      </c>
      <c r="B39" s="172"/>
      <c r="C39" s="172"/>
      <c r="D39" s="172"/>
      <c r="E39" s="173"/>
      <c r="F39" s="217"/>
      <c r="G39" s="217"/>
      <c r="H39" s="172"/>
      <c r="I39" s="172"/>
      <c r="J39" s="171" t="str">
        <f t="shared" si="0"/>
        <v/>
      </c>
    </row>
    <row r="40" spans="1:10" ht="15" customHeight="1" x14ac:dyDescent="0.25">
      <c r="A40" s="171" t="str">
        <f>IF(B40="","","ADV-"&amp;TEXT(COUNTA($B$5:B40),"000"))</f>
        <v/>
      </c>
      <c r="B40" s="172"/>
      <c r="C40" s="172"/>
      <c r="D40" s="172"/>
      <c r="E40" s="173"/>
      <c r="F40" s="217"/>
      <c r="G40" s="217"/>
      <c r="H40" s="172"/>
      <c r="I40" s="172"/>
      <c r="J40" s="171" t="str">
        <f t="shared" si="0"/>
        <v/>
      </c>
    </row>
    <row r="41" spans="1:10" ht="15" customHeight="1" x14ac:dyDescent="0.25">
      <c r="A41" s="171" t="str">
        <f>IF(B41="","","ADV-"&amp;TEXT(COUNTA($B$5:B41),"000"))</f>
        <v/>
      </c>
      <c r="B41" s="172"/>
      <c r="C41" s="172"/>
      <c r="D41" s="172"/>
      <c r="E41" s="173"/>
      <c r="F41" s="217"/>
      <c r="G41" s="217"/>
      <c r="H41" s="172"/>
      <c r="I41" s="172"/>
      <c r="J41" s="171" t="str">
        <f t="shared" si="0"/>
        <v/>
      </c>
    </row>
    <row r="42" spans="1:10" ht="15" customHeight="1" x14ac:dyDescent="0.25">
      <c r="A42" s="171" t="str">
        <f>IF(B42="","","ADV-"&amp;TEXT(COUNTA($B$5:B42),"000"))</f>
        <v/>
      </c>
      <c r="B42" s="172"/>
      <c r="C42" s="172"/>
      <c r="D42" s="172"/>
      <c r="E42" s="173"/>
      <c r="F42" s="217"/>
      <c r="G42" s="217"/>
      <c r="H42" s="172"/>
      <c r="I42" s="172"/>
      <c r="J42" s="171" t="str">
        <f t="shared" si="0"/>
        <v/>
      </c>
    </row>
    <row r="43" spans="1:10" ht="15" customHeight="1" x14ac:dyDescent="0.25">
      <c r="A43" s="171" t="str">
        <f>IF(B43="","","ADV-"&amp;TEXT(COUNTA($B$5:B43),"000"))</f>
        <v/>
      </c>
      <c r="B43" s="172"/>
      <c r="C43" s="172"/>
      <c r="D43" s="172"/>
      <c r="E43" s="173"/>
      <c r="F43" s="217"/>
      <c r="G43" s="217"/>
      <c r="H43" s="172"/>
      <c r="I43" s="172"/>
      <c r="J43" s="171" t="str">
        <f t="shared" si="0"/>
        <v/>
      </c>
    </row>
    <row r="44" spans="1:10" ht="15" customHeight="1" x14ac:dyDescent="0.25">
      <c r="A44" s="171" t="str">
        <f>IF(B44="","","ADV-"&amp;TEXT(COUNTA($B$5:B44),"000"))</f>
        <v/>
      </c>
      <c r="B44" s="172"/>
      <c r="C44" s="172"/>
      <c r="D44" s="172"/>
      <c r="E44" s="173"/>
      <c r="F44" s="217"/>
      <c r="G44" s="217"/>
      <c r="H44" s="172"/>
      <c r="I44" s="172"/>
      <c r="J44" s="171" t="str">
        <f t="shared" si="0"/>
        <v/>
      </c>
    </row>
    <row r="45" spans="1:10" ht="15" customHeight="1" x14ac:dyDescent="0.25">
      <c r="A45" s="171" t="str">
        <f>IF(B45="","","ADV-"&amp;TEXT(COUNTA($B$5:B45),"000"))</f>
        <v/>
      </c>
      <c r="B45" s="172"/>
      <c r="C45" s="172"/>
      <c r="D45" s="172"/>
      <c r="E45" s="173"/>
      <c r="F45" s="217"/>
      <c r="G45" s="217"/>
      <c r="H45" s="172"/>
      <c r="I45" s="172"/>
      <c r="J45" s="171" t="str">
        <f t="shared" si="0"/>
        <v/>
      </c>
    </row>
    <row r="46" spans="1:10" ht="15" customHeight="1" x14ac:dyDescent="0.25">
      <c r="A46" s="171" t="str">
        <f>IF(B46="","","ADV-"&amp;TEXT(COUNTA($B$5:B46),"000"))</f>
        <v/>
      </c>
      <c r="B46" s="172"/>
      <c r="C46" s="172"/>
      <c r="D46" s="172"/>
      <c r="E46" s="173"/>
      <c r="F46" s="217"/>
      <c r="G46" s="217"/>
      <c r="H46" s="172"/>
      <c r="I46" s="172"/>
      <c r="J46" s="171" t="str">
        <f t="shared" si="0"/>
        <v/>
      </c>
    </row>
    <row r="47" spans="1:10" ht="15" customHeight="1" x14ac:dyDescent="0.25">
      <c r="A47" s="171" t="str">
        <f>IF(B47="","","ADV-"&amp;TEXT(COUNTA($B$5:B47),"000"))</f>
        <v/>
      </c>
      <c r="B47" s="172"/>
      <c r="C47" s="172"/>
      <c r="D47" s="172"/>
      <c r="E47" s="173"/>
      <c r="F47" s="217"/>
      <c r="G47" s="217"/>
      <c r="H47" s="172"/>
      <c r="I47" s="172"/>
      <c r="J47" s="171" t="str">
        <f t="shared" si="0"/>
        <v/>
      </c>
    </row>
    <row r="48" spans="1:10" ht="15" customHeight="1" x14ac:dyDescent="0.25">
      <c r="A48" s="171" t="str">
        <f>IF(B48="","","ADV-"&amp;TEXT(COUNTA($B$5:B48),"000"))</f>
        <v/>
      </c>
      <c r="B48" s="172"/>
      <c r="C48" s="172"/>
      <c r="D48" s="172"/>
      <c r="E48" s="173"/>
      <c r="F48" s="217"/>
      <c r="G48" s="217"/>
      <c r="H48" s="172"/>
      <c r="I48" s="172"/>
      <c r="J48" s="171" t="str">
        <f t="shared" si="0"/>
        <v/>
      </c>
    </row>
    <row r="49" spans="1:10" ht="15" customHeight="1" x14ac:dyDescent="0.25">
      <c r="A49" s="171" t="str">
        <f>IF(B49="","","ADV-"&amp;TEXT(COUNTA($B$5:B49),"000"))</f>
        <v/>
      </c>
      <c r="B49" s="172"/>
      <c r="C49" s="172"/>
      <c r="D49" s="172"/>
      <c r="E49" s="173"/>
      <c r="F49" s="217"/>
      <c r="G49" s="217"/>
      <c r="H49" s="172"/>
      <c r="I49" s="172"/>
      <c r="J49" s="171" t="str">
        <f t="shared" si="0"/>
        <v/>
      </c>
    </row>
    <row r="50" spans="1:10" ht="15" customHeight="1" x14ac:dyDescent="0.25">
      <c r="A50" s="171" t="str">
        <f>IF(B50="","","ADV-"&amp;TEXT(COUNTA($B$5:B50),"000"))</f>
        <v/>
      </c>
      <c r="B50" s="172"/>
      <c r="C50" s="172"/>
      <c r="D50" s="172"/>
      <c r="E50" s="173"/>
      <c r="F50" s="217"/>
      <c r="G50" s="217"/>
      <c r="H50" s="172"/>
      <c r="I50" s="172"/>
      <c r="J50" s="171" t="str">
        <f t="shared" si="0"/>
        <v/>
      </c>
    </row>
    <row r="51" spans="1:10" ht="15" customHeight="1" x14ac:dyDescent="0.25">
      <c r="A51" s="140" t="s">
        <v>18</v>
      </c>
      <c r="E51" s="141">
        <f>SUMIF(E5:E50,"&gt;0")</f>
        <v>0</v>
      </c>
    </row>
    <row r="53" spans="1:10" ht="15" customHeight="1" x14ac:dyDescent="0.25">
      <c r="A53" s="140" t="s">
        <v>353</v>
      </c>
    </row>
    <row r="54" spans="1:10" ht="15" customHeight="1" x14ac:dyDescent="0.25">
      <c r="A54" t="s">
        <v>354</v>
      </c>
    </row>
    <row r="55" spans="1:10" ht="15" customHeight="1" x14ac:dyDescent="0.25">
      <c r="A55" t="s">
        <v>355</v>
      </c>
    </row>
    <row r="56" spans="1:10" ht="15" customHeight="1" x14ac:dyDescent="0.25">
      <c r="A56" t="s">
        <v>356</v>
      </c>
    </row>
    <row r="57" spans="1:10" ht="15" customHeight="1" x14ac:dyDescent="0.25">
      <c r="A57" t="s">
        <v>357</v>
      </c>
    </row>
  </sheetData>
  <mergeCells count="2">
    <mergeCell ref="A1:J1"/>
    <mergeCell ref="A2:J2"/>
  </mergeCells>
  <dataValidations count="1">
    <dataValidation type="list" allowBlank="1" sqref="D5:D50" xr:uid="{00000000-0002-0000-0D00-000000000000}">
      <formula1>"Professores,Administração,Pessoal Geral"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  <headerFooter>
    <oddHeader>&amp;C&amp;"Arial,Regular"&amp;9 École Consulaire du Congo – Luanda</oddHeader>
    <oddFooter>&amp;C&amp;"Arial,Regular"&amp;8 Página &amp;P de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4"/>
  <sheetViews>
    <sheetView zoomScaleNormal="100" workbookViewId="0">
      <selection activeCell="B7" sqref="B7"/>
    </sheetView>
  </sheetViews>
  <sheetFormatPr defaultColWidth="8.5703125" defaultRowHeight="15" x14ac:dyDescent="0.25"/>
  <cols>
    <col min="1" max="1" width="16" style="188" customWidth="1"/>
    <col min="2" max="2" width="14" style="188" customWidth="1"/>
    <col min="3" max="3" width="16.140625" style="188" customWidth="1"/>
    <col min="4" max="6" width="14" style="188" customWidth="1"/>
  </cols>
  <sheetData>
    <row r="1" spans="1:6" ht="9.75" customHeight="1" x14ac:dyDescent="0.25"/>
    <row r="2" spans="1:6" ht="16.5" customHeight="1" x14ac:dyDescent="0.25">
      <c r="A2" s="284" t="s">
        <v>317</v>
      </c>
      <c r="B2" s="221"/>
      <c r="C2" s="221"/>
      <c r="D2" s="221"/>
      <c r="E2" s="221"/>
      <c r="F2" s="221"/>
    </row>
    <row r="3" spans="1:6" ht="16.5" customHeight="1" x14ac:dyDescent="0.25">
      <c r="A3" s="238" t="s">
        <v>318</v>
      </c>
      <c r="B3" s="221"/>
      <c r="C3" s="221"/>
      <c r="D3" s="221"/>
      <c r="E3" s="221"/>
      <c r="F3" s="221"/>
    </row>
    <row r="4" spans="1:6" ht="16.5" customHeight="1" x14ac:dyDescent="0.25"/>
    <row r="5" spans="1:6" ht="27.75" customHeight="1" x14ac:dyDescent="0.25">
      <c r="A5" s="286" t="s">
        <v>358</v>
      </c>
      <c r="B5" s="221"/>
      <c r="C5" s="221"/>
      <c r="D5" s="221"/>
      <c r="E5" s="221"/>
      <c r="F5" s="221"/>
    </row>
    <row r="6" spans="1:6" ht="16.5" customHeight="1" x14ac:dyDescent="0.25"/>
    <row r="7" spans="1:6" ht="16.5" customHeight="1" x14ac:dyDescent="0.25">
      <c r="A7" s="191" t="s">
        <v>359</v>
      </c>
      <c r="B7" s="174"/>
      <c r="C7" s="189" t="s">
        <v>360</v>
      </c>
    </row>
    <row r="8" spans="1:6" ht="16.5" customHeight="1" x14ac:dyDescent="0.25"/>
    <row r="9" spans="1:6" ht="16.5" customHeight="1" x14ac:dyDescent="0.25">
      <c r="A9" s="191" t="s">
        <v>323</v>
      </c>
      <c r="B9" s="218">
        <f ca="1">TODAY()</f>
        <v>46255</v>
      </c>
    </row>
    <row r="10" spans="1:6" ht="16.5" customHeight="1" x14ac:dyDescent="0.25"/>
    <row r="11" spans="1:6" ht="16.5" customHeight="1" x14ac:dyDescent="0.25">
      <c r="A11" s="291" t="s">
        <v>361</v>
      </c>
      <c r="B11" s="221"/>
      <c r="C11" s="221"/>
      <c r="D11" s="221"/>
      <c r="E11" s="221"/>
      <c r="F11" s="221"/>
    </row>
    <row r="12" spans="1:6" ht="16.5" customHeight="1" x14ac:dyDescent="0.25">
      <c r="A12" s="191" t="s">
        <v>359</v>
      </c>
      <c r="B12" s="190" t="str">
        <f>IF(B7="","",B7)</f>
        <v/>
      </c>
      <c r="C12" s="170" t="s">
        <v>320</v>
      </c>
      <c r="D12" s="190" t="str">
        <f>IF(B7="","",IFERROR(INDEX(Adiantamentos!B:B,MATCH(B7,Adiantamentos!A:A,0)),"—"))</f>
        <v/>
      </c>
    </row>
    <row r="13" spans="1:6" ht="16.5" customHeight="1" x14ac:dyDescent="0.25">
      <c r="A13" s="191" t="s">
        <v>326</v>
      </c>
      <c r="B13" s="287" t="str">
        <f>IF(B7="","",IFERROR(INDEX(Adiantamentos!C:C,MATCH(B7,Adiantamentos!A:A,0)),"—"))</f>
        <v/>
      </c>
      <c r="C13" s="225"/>
      <c r="D13" s="223"/>
    </row>
    <row r="14" spans="1:6" ht="16.5" customHeight="1" x14ac:dyDescent="0.25">
      <c r="A14" s="191" t="s">
        <v>362</v>
      </c>
      <c r="B14" s="190" t="str">
        <f>IF(B7="","",IFERROR(INDEX(Adiantamentos!D:D,MATCH(B7,Adiantamentos!A:A,0)),"—"))</f>
        <v/>
      </c>
      <c r="C14" s="170" t="s">
        <v>363</v>
      </c>
      <c r="D14" s="190" t="str">
        <f>IF(B7="","",IFERROR(INDEX(Adiantamentos!H:H,MATCH(B7,Adiantamentos!A:A,0)),"—"))</f>
        <v/>
      </c>
    </row>
    <row r="15" spans="1:6" ht="16.5" customHeight="1" x14ac:dyDescent="0.25">
      <c r="A15" s="191" t="s">
        <v>364</v>
      </c>
      <c r="B15" s="216" t="str">
        <f>IF(B7="","",IFERROR(INDEX(Adiantamentos!F:F,MATCH(B7,Adiantamentos!A:A,0)),""))</f>
        <v/>
      </c>
      <c r="C15" s="170" t="s">
        <v>365</v>
      </c>
      <c r="D15" s="216" t="str">
        <f>IF(B7="","",IFERROR(INDEX(Adiantamentos!G:G,MATCH(B7,Adiantamentos!A:A,0)),""))</f>
        <v/>
      </c>
    </row>
    <row r="16" spans="1:6" ht="16.5" customHeight="1" x14ac:dyDescent="0.25">
      <c r="A16" s="191" t="s">
        <v>366</v>
      </c>
      <c r="B16" s="287" t="str">
        <f>IF(B7="","",IFERROR(INDEX(Adiantamentos!I:I,MATCH(B7,Adiantamentos!A:A,0)),"—"))</f>
        <v/>
      </c>
      <c r="C16" s="225"/>
      <c r="D16" s="225"/>
      <c r="E16" s="225"/>
      <c r="F16" s="223"/>
    </row>
    <row r="17" spans="1:6" ht="16.5" customHeight="1" x14ac:dyDescent="0.25"/>
    <row r="18" spans="1:6" ht="25.5" customHeight="1" x14ac:dyDescent="0.25">
      <c r="A18" s="278" t="s">
        <v>367</v>
      </c>
      <c r="B18" s="221"/>
      <c r="C18" s="293" t="str">
        <f>IF(B7="","",IFERROR(INDEX(Adiantamentos!E:E,MATCH(B7,Adiantamentos!A:A,0)),0))</f>
        <v/>
      </c>
      <c r="D18" s="225"/>
    </row>
    <row r="19" spans="1:6" ht="16.5" customHeight="1" x14ac:dyDescent="0.25">
      <c r="A19" s="191" t="s">
        <v>368</v>
      </c>
      <c r="B19" s="190" t="str">
        <f>IF(B7="","",IFERROR(INDEX(Adiantamentos!J:J,MATCH(B7,Adiantamentos!A:A,0)),"—"))</f>
        <v/>
      </c>
    </row>
    <row r="20" spans="1:6" ht="16.5" customHeight="1" x14ac:dyDescent="0.25"/>
    <row r="21" spans="1:6" ht="16.5" customHeight="1" x14ac:dyDescent="0.25">
      <c r="A21" s="291" t="s">
        <v>369</v>
      </c>
      <c r="B21" s="221"/>
      <c r="C21" s="221"/>
      <c r="D21" s="221"/>
      <c r="E21" s="221"/>
      <c r="F21" s="221"/>
    </row>
    <row r="22" spans="1:6" ht="16.5" customHeight="1" x14ac:dyDescent="0.25">
      <c r="A22" s="292" t="s">
        <v>370</v>
      </c>
      <c r="B22" s="221"/>
      <c r="C22" s="221"/>
      <c r="D22" s="221"/>
      <c r="E22" s="221"/>
      <c r="F22" s="221"/>
    </row>
    <row r="23" spans="1:6" ht="16.5" customHeight="1" x14ac:dyDescent="0.25">
      <c r="A23" s="221"/>
      <c r="B23" s="221"/>
      <c r="C23" s="221"/>
      <c r="D23" s="221"/>
      <c r="E23" s="221"/>
      <c r="F23" s="221"/>
    </row>
    <row r="24" spans="1:6" ht="16.5" customHeight="1" x14ac:dyDescent="0.25"/>
    <row r="25" spans="1:6" ht="16.5" customHeight="1" x14ac:dyDescent="0.25">
      <c r="A25" s="291" t="s">
        <v>371</v>
      </c>
      <c r="B25" s="221"/>
      <c r="C25" s="221"/>
      <c r="D25" s="221"/>
      <c r="E25" s="221"/>
      <c r="F25" s="221"/>
    </row>
    <row r="26" spans="1:6" ht="16.5" customHeight="1" x14ac:dyDescent="0.25"/>
    <row r="27" spans="1:6" ht="16.5" customHeight="1" x14ac:dyDescent="0.25">
      <c r="A27" s="283" t="s">
        <v>372</v>
      </c>
      <c r="B27" s="221"/>
      <c r="C27" s="283" t="s">
        <v>373</v>
      </c>
      <c r="D27" s="221"/>
      <c r="E27" s="283" t="s">
        <v>374</v>
      </c>
      <c r="F27" s="221"/>
    </row>
    <row r="28" spans="1:6" ht="16.5" customHeight="1" x14ac:dyDescent="0.25"/>
    <row r="29" spans="1:6" ht="16.5" customHeight="1" x14ac:dyDescent="0.25">
      <c r="A29" s="289" t="s">
        <v>375</v>
      </c>
      <c r="B29" s="221"/>
      <c r="C29" s="289" t="s">
        <v>375</v>
      </c>
      <c r="D29" s="221"/>
      <c r="E29" s="289" t="s">
        <v>375</v>
      </c>
      <c r="F29" s="221"/>
    </row>
    <row r="30" spans="1:6" ht="16.5" customHeight="1" x14ac:dyDescent="0.25">
      <c r="A30" s="238" t="s">
        <v>342</v>
      </c>
      <c r="B30" s="221"/>
      <c r="C30" s="238" t="s">
        <v>342</v>
      </c>
      <c r="D30" s="221"/>
      <c r="E30" s="238" t="s">
        <v>342</v>
      </c>
      <c r="F30" s="221"/>
    </row>
    <row r="31" spans="1:6" ht="16.5" customHeight="1" x14ac:dyDescent="0.25">
      <c r="A31" s="238" t="s">
        <v>376</v>
      </c>
      <c r="B31" s="221"/>
      <c r="C31" s="238" t="s">
        <v>376</v>
      </c>
      <c r="D31" s="221"/>
      <c r="E31" s="238" t="s">
        <v>376</v>
      </c>
      <c r="F31" s="221"/>
    </row>
    <row r="32" spans="1:6" ht="16.5" customHeight="1" x14ac:dyDescent="0.25"/>
    <row r="33" spans="1:6" ht="16.5" customHeight="1" x14ac:dyDescent="0.25">
      <c r="A33" s="294" t="s">
        <v>377</v>
      </c>
      <c r="B33" s="221"/>
      <c r="C33" s="221"/>
      <c r="D33" s="221"/>
      <c r="E33" s="221"/>
      <c r="F33" s="221"/>
    </row>
    <row r="34" spans="1:6" ht="16.5" customHeight="1" x14ac:dyDescent="0.25">
      <c r="A34" s="277" t="s">
        <v>343</v>
      </c>
      <c r="B34" s="221"/>
      <c r="C34" s="221"/>
      <c r="D34" s="221"/>
      <c r="E34" s="221"/>
      <c r="F34" s="221"/>
    </row>
  </sheetData>
  <mergeCells count="25">
    <mergeCell ref="A2:F2"/>
    <mergeCell ref="C29:D29"/>
    <mergeCell ref="E29:F29"/>
    <mergeCell ref="A5:F5"/>
    <mergeCell ref="A18:B18"/>
    <mergeCell ref="A27:B27"/>
    <mergeCell ref="C27:D27"/>
    <mergeCell ref="E27:F27"/>
    <mergeCell ref="B16:F16"/>
    <mergeCell ref="B13:D13"/>
    <mergeCell ref="A3:F3"/>
    <mergeCell ref="A21:F21"/>
    <mergeCell ref="A34:F34"/>
    <mergeCell ref="A11:F11"/>
    <mergeCell ref="A29:B29"/>
    <mergeCell ref="A22:F23"/>
    <mergeCell ref="C18:D18"/>
    <mergeCell ref="A31:B31"/>
    <mergeCell ref="A25:F25"/>
    <mergeCell ref="A33:F33"/>
    <mergeCell ref="C31:D31"/>
    <mergeCell ref="E31:F31"/>
    <mergeCell ref="E30:F30"/>
    <mergeCell ref="A30:B30"/>
    <mergeCell ref="C30:D30"/>
  </mergeCells>
  <printOptions horizontalCentered="1" verticalCentered="1"/>
  <pageMargins left="0.4" right="0.4" top="0.5" bottom="0.5" header="0.511811023622047" footer="0.2"/>
  <pageSetup paperSize="9" fitToHeight="0" orientation="portrait" horizontalDpi="300" verticalDpi="300"/>
  <headerFooter>
    <oddFooter>&amp;C&amp;"Arial,Regular"&amp;8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10</vt:i4>
      </vt:variant>
    </vt:vector>
  </HeadingPairs>
  <TitlesOfParts>
    <vt:vector size="25" baseType="lpstr">
      <vt:lpstr>Dashboard</vt:lpstr>
      <vt:lpstr>Plano de Contas</vt:lpstr>
      <vt:lpstr>Controlo de Propinas</vt:lpstr>
      <vt:lpstr>Mensalidades</vt:lpstr>
      <vt:lpstr>Cadastro de Alunos</vt:lpstr>
      <vt:lpstr>Controlo de Manuais</vt:lpstr>
      <vt:lpstr>Lançamentos Contábeis</vt:lpstr>
      <vt:lpstr>Fluxo de Caixa</vt:lpstr>
      <vt:lpstr>DRE</vt:lpstr>
      <vt:lpstr>Balanço Patrimonial</vt:lpstr>
      <vt:lpstr>Relatórios</vt:lpstr>
      <vt:lpstr>Salários</vt:lpstr>
      <vt:lpstr>Recibos de Salário</vt:lpstr>
      <vt:lpstr>Adiantamentos</vt:lpstr>
      <vt:lpstr>Vales de Adiantamento</vt:lpstr>
      <vt:lpstr>'Recibos de Salário'!Área_de_Impressão</vt:lpstr>
      <vt:lpstr>'Vales de Adiantamento'!Área_de_Impressão</vt:lpstr>
      <vt:lpstr>Adiantamentos!Títulos_de_Impressão</vt:lpstr>
      <vt:lpstr>'Cadastro de Alunos'!Títulos_de_Impressão</vt:lpstr>
      <vt:lpstr>'Controlo de Manuais'!Títulos_de_Impressão</vt:lpstr>
      <vt:lpstr>'Controlo de Propinas'!Títulos_de_Impressão</vt:lpstr>
      <vt:lpstr>Dashboard!Títulos_de_Impressão</vt:lpstr>
      <vt:lpstr>'Lançamentos Contábeis'!Títulos_de_Impressão</vt:lpstr>
      <vt:lpstr>Mensalidades!Títulos_de_Impressão</vt:lpstr>
      <vt:lpstr>Salários!Títulos_de_Impressão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Log77 Unipessoal Lda</dc:creator>
  <cp:lastModifiedBy>Tânia Martins</cp:lastModifiedBy>
  <cp:revision>29</cp:revision>
  <cp:lastPrinted>2026-08-12T09:03:47Z</cp:lastPrinted>
  <dcterms:created xsi:type="dcterms:W3CDTF">2026-07-22T19:52:46Z</dcterms:created>
  <dcterms:modified xsi:type="dcterms:W3CDTF">2026-08-21T12:16:12Z</dcterms:modified>
  <dc:language>en-US</dc:language>
</cp:coreProperties>
</file>