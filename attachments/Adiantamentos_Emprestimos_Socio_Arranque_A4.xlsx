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https://d.docs.live.net/0f44080f3793ef29/Desktop/CONTABILIDADE/"/>
    </mc:Choice>
  </mc:AlternateContent>
  <xr:revisionPtr revIDLastSave="35" documentId="13_ncr:1_{42A5A884-C9C9-4FE7-81D2-D4C18BC3741D}" xr6:coauthVersionLast="47" xr6:coauthVersionMax="47" xr10:uidLastSave="{6B604A7D-FCA2-4699-B775-826883D016C0}"/>
  <bookViews>
    <workbookView xWindow="-120" yWindow="-120" windowWidth="24240" windowHeight="13140" tabRatio="500" activeTab="3" xr2:uid="{00000000-000D-0000-FFFF-FFFF00000000}"/>
  </bookViews>
  <sheets>
    <sheet name="Lançamentos" sheetId="1" r:id="rId1"/>
    <sheet name="Arquivos Digitais" sheetId="2" r:id="rId2"/>
    <sheet name="Resumo por Categoria" sheetId="3" r:id="rId3"/>
    <sheet name="Lista de Categorias" sheetId="4" r:id="rId4"/>
  </sheets>
  <definedNames>
    <definedName name="_xlnm.Print_Area" localSheetId="1">'Arquivos Digitais'!$A$1:$L$22</definedName>
    <definedName name="_xlnm.Print_Area" localSheetId="0">Lançamentos!$A$1:$L$61</definedName>
    <definedName name="_xlnm.Print_Area" localSheetId="3">'Lista de Categorias'!$A$1:$B$28</definedName>
    <definedName name="_xlnm.Print_Area" localSheetId="2">'Resumo por Categoria'!$A$1:$D$40</definedName>
    <definedName name="_xlnm.Print_Titles" localSheetId="0">Lançamentos!$11:$11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2" i="1" l="1"/>
  <c r="F63" i="2" s="1"/>
  <c r="C30" i="3"/>
  <c r="B30" i="3"/>
  <c r="C29" i="3"/>
  <c r="B29" i="3"/>
  <c r="C28" i="3"/>
  <c r="B28" i="3"/>
  <c r="C27" i="3"/>
  <c r="B27" i="3"/>
  <c r="C26" i="3"/>
  <c r="B26" i="3"/>
  <c r="C25" i="3"/>
  <c r="B25" i="3"/>
  <c r="C24" i="3"/>
  <c r="B24" i="3"/>
  <c r="C23" i="3"/>
  <c r="B23" i="3"/>
  <c r="C22" i="3"/>
  <c r="B22" i="3"/>
  <c r="C21" i="3"/>
  <c r="B21" i="3"/>
  <c r="C20" i="3"/>
  <c r="B20" i="3"/>
  <c r="C19" i="3"/>
  <c r="B19" i="3"/>
  <c r="C18" i="3"/>
  <c r="B18" i="3"/>
  <c r="C17" i="3"/>
  <c r="B17" i="3"/>
  <c r="C16" i="3"/>
  <c r="B16" i="3"/>
  <c r="C15" i="3"/>
  <c r="B15" i="3"/>
  <c r="C14" i="3"/>
  <c r="B14" i="3"/>
  <c r="C13" i="3"/>
  <c r="B13" i="3"/>
  <c r="C12" i="3"/>
  <c r="B12" i="3"/>
  <c r="C11" i="3"/>
  <c r="B11" i="3"/>
  <c r="C10" i="3"/>
  <c r="B10" i="3"/>
  <c r="C9" i="3"/>
  <c r="B9" i="3"/>
  <c r="C8" i="3"/>
  <c r="B8" i="3"/>
  <c r="C7" i="3"/>
  <c r="B7" i="3"/>
  <c r="C6" i="3"/>
  <c r="B6" i="3"/>
  <c r="C5" i="3"/>
  <c r="B5" i="3"/>
  <c r="B8" i="2"/>
  <c r="B7" i="2"/>
  <c r="B6" i="2"/>
  <c r="L200" i="1"/>
  <c r="G200" i="1"/>
  <c r="A200" i="1"/>
  <c r="L199" i="1"/>
  <c r="G199" i="1"/>
  <c r="A199" i="1"/>
  <c r="L198" i="1"/>
  <c r="G198" i="1"/>
  <c r="A198" i="1"/>
  <c r="L197" i="1"/>
  <c r="G197" i="1"/>
  <c r="A197" i="1"/>
  <c r="L196" i="1"/>
  <c r="G196" i="1"/>
  <c r="A196" i="1"/>
  <c r="L195" i="1"/>
  <c r="G195" i="1"/>
  <c r="A195" i="1"/>
  <c r="L194" i="1"/>
  <c r="G194" i="1"/>
  <c r="A194" i="1"/>
  <c r="L193" i="1"/>
  <c r="G193" i="1"/>
  <c r="A193" i="1"/>
  <c r="L192" i="1"/>
  <c r="G192" i="1"/>
  <c r="A192" i="1"/>
  <c r="L191" i="1"/>
  <c r="G191" i="1"/>
  <c r="A191" i="1"/>
  <c r="L190" i="1"/>
  <c r="G190" i="1"/>
  <c r="A190" i="1"/>
  <c r="L189" i="1"/>
  <c r="G189" i="1"/>
  <c r="A189" i="1"/>
  <c r="L188" i="1"/>
  <c r="G188" i="1"/>
  <c r="A188" i="1"/>
  <c r="L187" i="1"/>
  <c r="G187" i="1"/>
  <c r="A187" i="1"/>
  <c r="L186" i="1"/>
  <c r="G186" i="1"/>
  <c r="A186" i="1"/>
  <c r="L185" i="1"/>
  <c r="G185" i="1"/>
  <c r="A185" i="1"/>
  <c r="L184" i="1"/>
  <c r="G184" i="1"/>
  <c r="A184" i="1"/>
  <c r="L183" i="1"/>
  <c r="G183" i="1"/>
  <c r="A183" i="1"/>
  <c r="L182" i="1"/>
  <c r="G182" i="1"/>
  <c r="A182" i="1"/>
  <c r="L181" i="1"/>
  <c r="G181" i="1"/>
  <c r="A181" i="1"/>
  <c r="L180" i="1"/>
  <c r="G180" i="1"/>
  <c r="A180" i="1"/>
  <c r="L179" i="1"/>
  <c r="G179" i="1"/>
  <c r="A179" i="1"/>
  <c r="L178" i="1"/>
  <c r="G178" i="1"/>
  <c r="A178" i="1"/>
  <c r="L177" i="1"/>
  <c r="G177" i="1"/>
  <c r="A177" i="1"/>
  <c r="L176" i="1"/>
  <c r="G176" i="1"/>
  <c r="A176" i="1"/>
  <c r="L175" i="1"/>
  <c r="G175" i="1"/>
  <c r="A175" i="1"/>
  <c r="L174" i="1"/>
  <c r="G174" i="1"/>
  <c r="A174" i="1"/>
  <c r="L173" i="1"/>
  <c r="G173" i="1"/>
  <c r="A173" i="1"/>
  <c r="L172" i="1"/>
  <c r="G172" i="1"/>
  <c r="A172" i="1"/>
  <c r="L171" i="1"/>
  <c r="G171" i="1"/>
  <c r="A171" i="1"/>
  <c r="L170" i="1"/>
  <c r="G170" i="1"/>
  <c r="A170" i="1"/>
  <c r="L169" i="1"/>
  <c r="G169" i="1"/>
  <c r="A169" i="1"/>
  <c r="L168" i="1"/>
  <c r="G168" i="1"/>
  <c r="A168" i="1"/>
  <c r="L167" i="1"/>
  <c r="G167" i="1"/>
  <c r="A167" i="1"/>
  <c r="L166" i="1"/>
  <c r="G166" i="1"/>
  <c r="A166" i="1"/>
  <c r="L165" i="1"/>
  <c r="G165" i="1"/>
  <c r="A165" i="1"/>
  <c r="L164" i="1"/>
  <c r="G164" i="1"/>
  <c r="A164" i="1"/>
  <c r="L163" i="1"/>
  <c r="G163" i="1"/>
  <c r="A163" i="1"/>
  <c r="L162" i="1"/>
  <c r="G162" i="1"/>
  <c r="A162" i="1"/>
  <c r="L161" i="1"/>
  <c r="G161" i="1"/>
  <c r="A161" i="1"/>
  <c r="L160" i="1"/>
  <c r="G160" i="1"/>
  <c r="A160" i="1"/>
  <c r="L159" i="1"/>
  <c r="G159" i="1"/>
  <c r="A159" i="1"/>
  <c r="L158" i="1"/>
  <c r="G158" i="1"/>
  <c r="A158" i="1"/>
  <c r="L157" i="1"/>
  <c r="G157" i="1"/>
  <c r="A157" i="1"/>
  <c r="L156" i="1"/>
  <c r="G156" i="1"/>
  <c r="A156" i="1"/>
  <c r="L155" i="1"/>
  <c r="G155" i="1"/>
  <c r="A155" i="1"/>
  <c r="L154" i="1"/>
  <c r="G154" i="1"/>
  <c r="A154" i="1"/>
  <c r="L153" i="1"/>
  <c r="G153" i="1"/>
  <c r="A153" i="1"/>
  <c r="L152" i="1"/>
  <c r="G152" i="1"/>
  <c r="A152" i="1"/>
  <c r="L151" i="1"/>
  <c r="G151" i="1"/>
  <c r="A151" i="1"/>
  <c r="L150" i="1"/>
  <c r="G150" i="1"/>
  <c r="A150" i="1"/>
  <c r="L149" i="1"/>
  <c r="G149" i="1"/>
  <c r="A149" i="1"/>
  <c r="L148" i="1"/>
  <c r="G148" i="1"/>
  <c r="A148" i="1"/>
  <c r="L147" i="1"/>
  <c r="G147" i="1"/>
  <c r="A147" i="1"/>
  <c r="L146" i="1"/>
  <c r="G146" i="1"/>
  <c r="A146" i="1"/>
  <c r="L145" i="1"/>
  <c r="G145" i="1"/>
  <c r="A145" i="1"/>
  <c r="L144" i="1"/>
  <c r="G144" i="1"/>
  <c r="A144" i="1"/>
  <c r="L143" i="1"/>
  <c r="G143" i="1"/>
  <c r="A143" i="1"/>
  <c r="L142" i="1"/>
  <c r="G142" i="1"/>
  <c r="A142" i="1"/>
  <c r="L141" i="1"/>
  <c r="G141" i="1"/>
  <c r="A141" i="1"/>
  <c r="L140" i="1"/>
  <c r="G140" i="1"/>
  <c r="A140" i="1"/>
  <c r="L139" i="1"/>
  <c r="G139" i="1"/>
  <c r="A139" i="1"/>
  <c r="L138" i="1"/>
  <c r="G138" i="1"/>
  <c r="A138" i="1"/>
  <c r="L137" i="1"/>
  <c r="G137" i="1"/>
  <c r="A137" i="1"/>
  <c r="L136" i="1"/>
  <c r="G136" i="1"/>
  <c r="A136" i="1"/>
  <c r="L135" i="1"/>
  <c r="G135" i="1"/>
  <c r="A135" i="1"/>
  <c r="L134" i="1"/>
  <c r="G134" i="1"/>
  <c r="A134" i="1"/>
  <c r="L133" i="1"/>
  <c r="G133" i="1"/>
  <c r="A133" i="1"/>
  <c r="L132" i="1"/>
  <c r="G132" i="1"/>
  <c r="A132" i="1"/>
  <c r="L131" i="1"/>
  <c r="G131" i="1"/>
  <c r="A131" i="1"/>
  <c r="L130" i="1"/>
  <c r="G130" i="1"/>
  <c r="A130" i="1"/>
  <c r="L129" i="1"/>
  <c r="G129" i="1"/>
  <c r="A129" i="1"/>
  <c r="L128" i="1"/>
  <c r="G128" i="1"/>
  <c r="A128" i="1"/>
  <c r="L127" i="1"/>
  <c r="G127" i="1"/>
  <c r="A127" i="1"/>
  <c r="L126" i="1"/>
  <c r="G126" i="1"/>
  <c r="A126" i="1"/>
  <c r="L125" i="1"/>
  <c r="G125" i="1"/>
  <c r="A125" i="1"/>
  <c r="L124" i="1"/>
  <c r="G124" i="1"/>
  <c r="A124" i="1"/>
  <c r="L123" i="1"/>
  <c r="G123" i="1"/>
  <c r="A123" i="1"/>
  <c r="L122" i="1"/>
  <c r="G122" i="1"/>
  <c r="A122" i="1"/>
  <c r="L121" i="1"/>
  <c r="G121" i="1"/>
  <c r="A121" i="1"/>
  <c r="L120" i="1"/>
  <c r="G120" i="1"/>
  <c r="A120" i="1"/>
  <c r="L119" i="1"/>
  <c r="G119" i="1"/>
  <c r="A119" i="1"/>
  <c r="L118" i="1"/>
  <c r="G118" i="1"/>
  <c r="A118" i="1"/>
  <c r="L117" i="1"/>
  <c r="G117" i="1"/>
  <c r="A117" i="1"/>
  <c r="L116" i="1"/>
  <c r="G116" i="1"/>
  <c r="A116" i="1"/>
  <c r="L115" i="1"/>
  <c r="G115" i="1"/>
  <c r="A115" i="1"/>
  <c r="L114" i="1"/>
  <c r="G114" i="1"/>
  <c r="A114" i="1"/>
  <c r="L113" i="1"/>
  <c r="G113" i="1"/>
  <c r="A113" i="1"/>
  <c r="L112" i="1"/>
  <c r="G112" i="1"/>
  <c r="A112" i="1"/>
  <c r="L111" i="1"/>
  <c r="G111" i="1"/>
  <c r="A111" i="1"/>
  <c r="L110" i="1"/>
  <c r="G110" i="1"/>
  <c r="A110" i="1"/>
  <c r="L109" i="1"/>
  <c r="G109" i="1"/>
  <c r="A109" i="1"/>
  <c r="L108" i="1"/>
  <c r="G108" i="1"/>
  <c r="A108" i="1"/>
  <c r="L107" i="1"/>
  <c r="G107" i="1"/>
  <c r="A107" i="1"/>
  <c r="L106" i="1"/>
  <c r="G106" i="1"/>
  <c r="A106" i="1"/>
  <c r="L105" i="1"/>
  <c r="G105" i="1"/>
  <c r="A105" i="1"/>
  <c r="L104" i="1"/>
  <c r="G104" i="1"/>
  <c r="A104" i="1"/>
  <c r="L103" i="1"/>
  <c r="G103" i="1"/>
  <c r="A103" i="1"/>
  <c r="L102" i="1"/>
  <c r="G102" i="1"/>
  <c r="A102" i="1"/>
  <c r="L101" i="1"/>
  <c r="G101" i="1"/>
  <c r="A101" i="1"/>
  <c r="L100" i="1"/>
  <c r="G100" i="1"/>
  <c r="A100" i="1"/>
  <c r="L99" i="1"/>
  <c r="G99" i="1"/>
  <c r="A99" i="1"/>
  <c r="L98" i="1"/>
  <c r="G98" i="1"/>
  <c r="A98" i="1"/>
  <c r="L97" i="1"/>
  <c r="G97" i="1"/>
  <c r="A97" i="1"/>
  <c r="L96" i="1"/>
  <c r="G96" i="1"/>
  <c r="A96" i="1"/>
  <c r="L95" i="1"/>
  <c r="G95" i="1"/>
  <c r="A95" i="1"/>
  <c r="L94" i="1"/>
  <c r="G94" i="1"/>
  <c r="A94" i="1"/>
  <c r="L93" i="1"/>
  <c r="G93" i="1"/>
  <c r="A93" i="1"/>
  <c r="L92" i="1"/>
  <c r="G92" i="1"/>
  <c r="A92" i="1"/>
  <c r="L91" i="1"/>
  <c r="G91" i="1"/>
  <c r="A91" i="1"/>
  <c r="L90" i="1"/>
  <c r="G90" i="1"/>
  <c r="A90" i="1"/>
  <c r="L89" i="1"/>
  <c r="G89" i="1"/>
  <c r="A89" i="1"/>
  <c r="L88" i="1"/>
  <c r="G88" i="1"/>
  <c r="A88" i="1"/>
  <c r="L87" i="1"/>
  <c r="G87" i="1"/>
  <c r="A87" i="1"/>
  <c r="L86" i="1"/>
  <c r="G86" i="1"/>
  <c r="A86" i="1"/>
  <c r="L85" i="1"/>
  <c r="G85" i="1"/>
  <c r="A85" i="1"/>
  <c r="L84" i="1"/>
  <c r="G84" i="1"/>
  <c r="A84" i="1"/>
  <c r="L83" i="1"/>
  <c r="G83" i="1"/>
  <c r="A83" i="1"/>
  <c r="L82" i="1"/>
  <c r="G82" i="1"/>
  <c r="A82" i="1"/>
  <c r="L81" i="1"/>
  <c r="G81" i="1"/>
  <c r="A81" i="1"/>
  <c r="L80" i="1"/>
  <c r="G80" i="1"/>
  <c r="A80" i="1"/>
  <c r="L79" i="1"/>
  <c r="G79" i="1"/>
  <c r="A79" i="1"/>
  <c r="L78" i="1"/>
  <c r="G78" i="1"/>
  <c r="A78" i="1"/>
  <c r="L77" i="1"/>
  <c r="G77" i="1"/>
  <c r="A77" i="1"/>
  <c r="L76" i="1"/>
  <c r="G76" i="1"/>
  <c r="A76" i="1"/>
  <c r="L75" i="1"/>
  <c r="G75" i="1"/>
  <c r="A75" i="1"/>
  <c r="L74" i="1"/>
  <c r="G74" i="1"/>
  <c r="A74" i="1"/>
  <c r="L73" i="1"/>
  <c r="G73" i="1"/>
  <c r="A73" i="1"/>
  <c r="L72" i="1"/>
  <c r="G72" i="1"/>
  <c r="A72" i="1"/>
  <c r="L71" i="1"/>
  <c r="G71" i="1"/>
  <c r="A71" i="1"/>
  <c r="L70" i="1"/>
  <c r="G70" i="1"/>
  <c r="A70" i="1"/>
  <c r="L69" i="1"/>
  <c r="G69" i="1"/>
  <c r="A69" i="1"/>
  <c r="L68" i="1"/>
  <c r="G68" i="1"/>
  <c r="A68" i="1"/>
  <c r="L67" i="1"/>
  <c r="G67" i="1"/>
  <c r="A67" i="1"/>
  <c r="L66" i="1"/>
  <c r="G66" i="1"/>
  <c r="A66" i="1"/>
  <c r="L65" i="1"/>
  <c r="G65" i="1"/>
  <c r="A65" i="1"/>
  <c r="L64" i="1"/>
  <c r="G64" i="1"/>
  <c r="A64" i="1"/>
  <c r="L63" i="1"/>
  <c r="G63" i="1"/>
  <c r="A63" i="1"/>
  <c r="L62" i="1"/>
  <c r="G62" i="1"/>
  <c r="A62" i="1"/>
  <c r="L61" i="1"/>
  <c r="G61" i="1"/>
  <c r="A61" i="1"/>
  <c r="L60" i="1"/>
  <c r="G60" i="1"/>
  <c r="A60" i="1"/>
  <c r="L59" i="1"/>
  <c r="G59" i="1"/>
  <c r="A59" i="1"/>
  <c r="L58" i="1"/>
  <c r="G58" i="1"/>
  <c r="A58" i="1"/>
  <c r="L57" i="1"/>
  <c r="G57" i="1"/>
  <c r="A57" i="1"/>
  <c r="L56" i="1"/>
  <c r="G56" i="1"/>
  <c r="A56" i="1"/>
  <c r="L55" i="1"/>
  <c r="G55" i="1"/>
  <c r="A55" i="1"/>
  <c r="L54" i="1"/>
  <c r="G54" i="1"/>
  <c r="A54" i="1"/>
  <c r="L53" i="1"/>
  <c r="G53" i="1"/>
  <c r="A53" i="1"/>
  <c r="L52" i="1"/>
  <c r="G52" i="1"/>
  <c r="A52" i="1"/>
  <c r="L51" i="1"/>
  <c r="G51" i="1"/>
  <c r="A51" i="1"/>
  <c r="L50" i="1"/>
  <c r="G50" i="1"/>
  <c r="A50" i="1"/>
  <c r="L49" i="1"/>
  <c r="G49" i="1"/>
  <c r="A49" i="1"/>
  <c r="L48" i="1"/>
  <c r="G48" i="1"/>
  <c r="A48" i="1"/>
  <c r="L47" i="1"/>
  <c r="G47" i="1"/>
  <c r="A47" i="1"/>
  <c r="L46" i="1"/>
  <c r="G46" i="1"/>
  <c r="A46" i="1"/>
  <c r="L45" i="1"/>
  <c r="G45" i="1"/>
  <c r="A45" i="1"/>
  <c r="L44" i="1"/>
  <c r="G44" i="1"/>
  <c r="A44" i="1"/>
  <c r="L43" i="1"/>
  <c r="G43" i="1"/>
  <c r="A43" i="1"/>
  <c r="L42" i="1"/>
  <c r="G42" i="1"/>
  <c r="A42" i="1"/>
  <c r="L41" i="1"/>
  <c r="G41" i="1"/>
  <c r="A41" i="1"/>
  <c r="L40" i="1"/>
  <c r="G40" i="1"/>
  <c r="A40" i="1"/>
  <c r="L39" i="1"/>
  <c r="G39" i="1"/>
  <c r="A39" i="1"/>
  <c r="L38" i="1"/>
  <c r="G38" i="1"/>
  <c r="A38" i="1"/>
  <c r="L37" i="1"/>
  <c r="G37" i="1"/>
  <c r="A37" i="1"/>
  <c r="L36" i="1"/>
  <c r="G36" i="1"/>
  <c r="A36" i="1"/>
  <c r="L35" i="1"/>
  <c r="G35" i="1"/>
  <c r="A35" i="1"/>
  <c r="L34" i="1"/>
  <c r="G34" i="1"/>
  <c r="A34" i="1"/>
  <c r="L33" i="1"/>
  <c r="G33" i="1"/>
  <c r="A33" i="1"/>
  <c r="L32" i="1"/>
  <c r="G32" i="1"/>
  <c r="A32" i="1"/>
  <c r="L31" i="1"/>
  <c r="G31" i="1"/>
  <c r="A31" i="1"/>
  <c r="L30" i="1"/>
  <c r="G30" i="1"/>
  <c r="A30" i="1"/>
  <c r="L29" i="1"/>
  <c r="G29" i="1"/>
  <c r="A29" i="1"/>
  <c r="L28" i="1"/>
  <c r="G28" i="1"/>
  <c r="A28" i="1"/>
  <c r="L27" i="1"/>
  <c r="G27" i="1"/>
  <c r="A27" i="1"/>
  <c r="L26" i="1"/>
  <c r="G26" i="1"/>
  <c r="A26" i="1"/>
  <c r="L25" i="1"/>
  <c r="G25" i="1"/>
  <c r="A25" i="1"/>
  <c r="L24" i="1"/>
  <c r="G24" i="1"/>
  <c r="A24" i="1"/>
  <c r="L23" i="1"/>
  <c r="G23" i="1"/>
  <c r="A23" i="1"/>
  <c r="L22" i="1"/>
  <c r="G22" i="1"/>
  <c r="A22" i="1"/>
  <c r="L21" i="1"/>
  <c r="G21" i="1"/>
  <c r="A21" i="1"/>
  <c r="L20" i="1"/>
  <c r="G20" i="1"/>
  <c r="A20" i="1"/>
  <c r="L19" i="1"/>
  <c r="G19" i="1"/>
  <c r="A19" i="1"/>
  <c r="L18" i="1"/>
  <c r="G18" i="1"/>
  <c r="A18" i="1"/>
  <c r="L17" i="1"/>
  <c r="G17" i="1"/>
  <c r="A17" i="1"/>
  <c r="L16" i="1"/>
  <c r="G16" i="1"/>
  <c r="A16" i="1"/>
  <c r="L15" i="1"/>
  <c r="G15" i="1"/>
  <c r="A15" i="1"/>
  <c r="L14" i="1"/>
  <c r="G14" i="1"/>
  <c r="A14" i="1"/>
  <c r="L13" i="1"/>
  <c r="G13" i="1"/>
  <c r="A13" i="1"/>
  <c r="L12" i="1"/>
  <c r="A12" i="1"/>
  <c r="B8" i="1"/>
  <c r="B7" i="1"/>
  <c r="B9" i="1" s="1"/>
  <c r="B6" i="1"/>
  <c r="B31" i="3" l="1"/>
  <c r="C33" i="3" s="1"/>
  <c r="C31" i="3"/>
  <c r="E12" i="2"/>
  <c r="C13" i="2"/>
  <c r="H13" i="2"/>
  <c r="E14" i="2"/>
  <c r="C15" i="2"/>
  <c r="H15" i="2"/>
  <c r="E16" i="2"/>
  <c r="C17" i="2"/>
  <c r="H17" i="2"/>
  <c r="E18" i="2"/>
  <c r="C19" i="2"/>
  <c r="H19" i="2"/>
  <c r="E20" i="2"/>
  <c r="C21" i="2"/>
  <c r="H21" i="2"/>
  <c r="E22" i="2"/>
  <c r="C23" i="2"/>
  <c r="H23" i="2"/>
  <c r="E24" i="2"/>
  <c r="C25" i="2"/>
  <c r="H25" i="2"/>
  <c r="E26" i="2"/>
  <c r="C27" i="2"/>
  <c r="H27" i="2"/>
  <c r="E28" i="2"/>
  <c r="C29" i="2"/>
  <c r="H29" i="2"/>
  <c r="E30" i="2"/>
  <c r="C31" i="2"/>
  <c r="H31" i="2"/>
  <c r="E32" i="2"/>
  <c r="C33" i="2"/>
  <c r="H33" i="2"/>
  <c r="E34" i="2"/>
  <c r="C35" i="2"/>
  <c r="H35" i="2"/>
  <c r="E36" i="2"/>
  <c r="C37" i="2"/>
  <c r="H37" i="2"/>
  <c r="E38" i="2"/>
  <c r="C39" i="2"/>
  <c r="H39" i="2"/>
  <c r="E40" i="2"/>
  <c r="C41" i="2"/>
  <c r="H41" i="2"/>
  <c r="E42" i="2"/>
  <c r="C43" i="2"/>
  <c r="H43" i="2"/>
  <c r="E44" i="2"/>
  <c r="C45" i="2"/>
  <c r="H45" i="2"/>
  <c r="E46" i="2"/>
  <c r="C47" i="2"/>
  <c r="H47" i="2"/>
  <c r="E48" i="2"/>
  <c r="C49" i="2"/>
  <c r="H49" i="2"/>
  <c r="E50" i="2"/>
  <c r="C51" i="2"/>
  <c r="H51" i="2"/>
  <c r="E52" i="2"/>
  <c r="C53" i="2"/>
  <c r="H53" i="2"/>
  <c r="E54" i="2"/>
  <c r="C55" i="2"/>
  <c r="H55" i="2"/>
  <c r="E56" i="2"/>
  <c r="C57" i="2"/>
  <c r="H57" i="2"/>
  <c r="E58" i="2"/>
  <c r="C59" i="2"/>
  <c r="H59" i="2"/>
  <c r="E60" i="2"/>
  <c r="C61" i="2"/>
  <c r="H61" i="2"/>
  <c r="E62" i="2"/>
  <c r="C63" i="2"/>
  <c r="H63" i="2"/>
  <c r="B12" i="2"/>
  <c r="F12" i="2"/>
  <c r="D13" i="2"/>
  <c r="B14" i="2"/>
  <c r="F14" i="2"/>
  <c r="D15" i="2"/>
  <c r="B16" i="2"/>
  <c r="F16" i="2"/>
  <c r="D17" i="2"/>
  <c r="B18" i="2"/>
  <c r="F18" i="2"/>
  <c r="D19" i="2"/>
  <c r="B20" i="2"/>
  <c r="F20" i="2"/>
  <c r="D21" i="2"/>
  <c r="B22" i="2"/>
  <c r="F22" i="2"/>
  <c r="D23" i="2"/>
  <c r="B24" i="2"/>
  <c r="F24" i="2"/>
  <c r="D25" i="2"/>
  <c r="B26" i="2"/>
  <c r="F26" i="2"/>
  <c r="D27" i="2"/>
  <c r="B28" i="2"/>
  <c r="F28" i="2"/>
  <c r="D29" i="2"/>
  <c r="B30" i="2"/>
  <c r="F30" i="2"/>
  <c r="D31" i="2"/>
  <c r="B32" i="2"/>
  <c r="F32" i="2"/>
  <c r="D33" i="2"/>
  <c r="B34" i="2"/>
  <c r="F34" i="2"/>
  <c r="D35" i="2"/>
  <c r="B36" i="2"/>
  <c r="F36" i="2"/>
  <c r="D37" i="2"/>
  <c r="B38" i="2"/>
  <c r="F38" i="2"/>
  <c r="D39" i="2"/>
  <c r="B40" i="2"/>
  <c r="F40" i="2"/>
  <c r="D41" i="2"/>
  <c r="B42" i="2"/>
  <c r="F42" i="2"/>
  <c r="D43" i="2"/>
  <c r="B44" i="2"/>
  <c r="F44" i="2"/>
  <c r="D45" i="2"/>
  <c r="B46" i="2"/>
  <c r="F46" i="2"/>
  <c r="D47" i="2"/>
  <c r="B48" i="2"/>
  <c r="F48" i="2"/>
  <c r="D49" i="2"/>
  <c r="B50" i="2"/>
  <c r="F50" i="2"/>
  <c r="D51" i="2"/>
  <c r="B52" i="2"/>
  <c r="F52" i="2"/>
  <c r="D53" i="2"/>
  <c r="B54" i="2"/>
  <c r="F54" i="2"/>
  <c r="D55" i="2"/>
  <c r="B56" i="2"/>
  <c r="F56" i="2"/>
  <c r="D57" i="2"/>
  <c r="B58" i="2"/>
  <c r="F58" i="2"/>
  <c r="D59" i="2"/>
  <c r="B60" i="2"/>
  <c r="F60" i="2"/>
  <c r="D61" i="2"/>
  <c r="B62" i="2"/>
  <c r="F62" i="2"/>
  <c r="D63" i="2"/>
  <c r="C12" i="2"/>
  <c r="H12" i="2"/>
  <c r="E13" i="2"/>
  <c r="C14" i="2"/>
  <c r="H14" i="2"/>
  <c r="E15" i="2"/>
  <c r="C16" i="2"/>
  <c r="H16" i="2"/>
  <c r="E17" i="2"/>
  <c r="C18" i="2"/>
  <c r="H18" i="2"/>
  <c r="E19" i="2"/>
  <c r="C20" i="2"/>
  <c r="H20" i="2"/>
  <c r="E21" i="2"/>
  <c r="C22" i="2"/>
  <c r="H22" i="2"/>
  <c r="E23" i="2"/>
  <c r="C24" i="2"/>
  <c r="H24" i="2"/>
  <c r="E25" i="2"/>
  <c r="C26" i="2"/>
  <c r="H26" i="2"/>
  <c r="E27" i="2"/>
  <c r="C28" i="2"/>
  <c r="H28" i="2"/>
  <c r="E29" i="2"/>
  <c r="C30" i="2"/>
  <c r="H30" i="2"/>
  <c r="E31" i="2"/>
  <c r="C32" i="2"/>
  <c r="H32" i="2"/>
  <c r="E33" i="2"/>
  <c r="C34" i="2"/>
  <c r="H34" i="2"/>
  <c r="E35" i="2"/>
  <c r="C36" i="2"/>
  <c r="H36" i="2"/>
  <c r="E37" i="2"/>
  <c r="C38" i="2"/>
  <c r="H38" i="2"/>
  <c r="E39" i="2"/>
  <c r="C40" i="2"/>
  <c r="H40" i="2"/>
  <c r="E41" i="2"/>
  <c r="C42" i="2"/>
  <c r="H42" i="2"/>
  <c r="E43" i="2"/>
  <c r="C44" i="2"/>
  <c r="H44" i="2"/>
  <c r="E45" i="2"/>
  <c r="C46" i="2"/>
  <c r="H46" i="2"/>
  <c r="E47" i="2"/>
  <c r="C48" i="2"/>
  <c r="H48" i="2"/>
  <c r="E49" i="2"/>
  <c r="C50" i="2"/>
  <c r="H50" i="2"/>
  <c r="E51" i="2"/>
  <c r="C52" i="2"/>
  <c r="H52" i="2"/>
  <c r="E53" i="2"/>
  <c r="C54" i="2"/>
  <c r="H54" i="2"/>
  <c r="E55" i="2"/>
  <c r="C56" i="2"/>
  <c r="H56" i="2"/>
  <c r="E57" i="2"/>
  <c r="C58" i="2"/>
  <c r="H58" i="2"/>
  <c r="E59" i="2"/>
  <c r="C60" i="2"/>
  <c r="H60" i="2"/>
  <c r="E61" i="2"/>
  <c r="C62" i="2"/>
  <c r="H62" i="2"/>
  <c r="E63" i="2"/>
  <c r="D12" i="2"/>
  <c r="B13" i="2"/>
  <c r="F13" i="2"/>
  <c r="D14" i="2"/>
  <c r="B15" i="2"/>
  <c r="F15" i="2"/>
  <c r="D16" i="2"/>
  <c r="B17" i="2"/>
  <c r="F17" i="2"/>
  <c r="D18" i="2"/>
  <c r="B19" i="2"/>
  <c r="F19" i="2"/>
  <c r="D20" i="2"/>
  <c r="B21" i="2"/>
  <c r="F21" i="2"/>
  <c r="D22" i="2"/>
  <c r="B23" i="2"/>
  <c r="F23" i="2"/>
  <c r="D24" i="2"/>
  <c r="B25" i="2"/>
  <c r="F25" i="2"/>
  <c r="D26" i="2"/>
  <c r="B27" i="2"/>
  <c r="F27" i="2"/>
  <c r="D28" i="2"/>
  <c r="B29" i="2"/>
  <c r="F29" i="2"/>
  <c r="D30" i="2"/>
  <c r="B31" i="2"/>
  <c r="F31" i="2"/>
  <c r="D32" i="2"/>
  <c r="B33" i="2"/>
  <c r="F33" i="2"/>
  <c r="D34" i="2"/>
  <c r="B35" i="2"/>
  <c r="F35" i="2"/>
  <c r="D36" i="2"/>
  <c r="B37" i="2"/>
  <c r="F37" i="2"/>
  <c r="D38" i="2"/>
  <c r="B39" i="2"/>
  <c r="F39" i="2"/>
  <c r="D40" i="2"/>
  <c r="B41" i="2"/>
  <c r="F41" i="2"/>
  <c r="D42" i="2"/>
  <c r="B43" i="2"/>
  <c r="F43" i="2"/>
  <c r="D44" i="2"/>
  <c r="B45" i="2"/>
  <c r="F45" i="2"/>
  <c r="D46" i="2"/>
  <c r="B47" i="2"/>
  <c r="F47" i="2"/>
  <c r="D48" i="2"/>
  <c r="B49" i="2"/>
  <c r="F49" i="2"/>
  <c r="D50" i="2"/>
  <c r="B51" i="2"/>
  <c r="F51" i="2"/>
  <c r="D52" i="2"/>
  <c r="B53" i="2"/>
  <c r="F53" i="2"/>
  <c r="D54" i="2"/>
  <c r="B55" i="2"/>
  <c r="F55" i="2"/>
  <c r="D56" i="2"/>
  <c r="B57" i="2"/>
  <c r="F57" i="2"/>
  <c r="D58" i="2"/>
  <c r="B59" i="2"/>
  <c r="F59" i="2"/>
  <c r="D60" i="2"/>
  <c r="B61" i="2"/>
  <c r="F61" i="2"/>
  <c r="D62" i="2"/>
  <c r="B63" i="2"/>
</calcChain>
</file>

<file path=xl/sharedStrings.xml><?xml version="1.0" encoding="utf-8"?>
<sst xmlns="http://schemas.openxmlformats.org/spreadsheetml/2006/main" count="533" uniqueCount="254">
  <si>
    <t>CONTROLO DE ADIANTAMENTOS / EMPRÉSTIMOS DO SÓCIO – ARRANQUE DE ATIVIDADES</t>
  </si>
  <si>
    <t>École Consulaire du Congo (Brazzaville) de Luanda  •  Registo de entradas de capital e despesas de arranque</t>
  </si>
  <si>
    <t>Amarelo = preencher  |  Verde = calculado  |  Nº Interno Doc. = número a escrever na fatura física</t>
  </si>
  <si>
    <t>RESUMO FINANCEIRO</t>
  </si>
  <si>
    <t>Total Entradas (Empréstimos)</t>
  </si>
  <si>
    <t>KZ</t>
  </si>
  <si>
    <t>Total Despesas Lançadas</t>
  </si>
  <si>
    <t xml:space="preserve">TOTAL A REEMBOLSAR </t>
  </si>
  <si>
    <t>Saldo (Entradas − Despesas)</t>
  </si>
  <si>
    <t>Nota: Nº e Nº Interno Doc. são automáticos e contínuos. Escreva o Nº Interno (FAT-001…) na fatura física. Se o Nº Fatura Fornecedor ou a combinação Fornecedor+Fatura se repetir, a célula fica vermelha e aparece alerta em "Alerta Duplicado".</t>
  </si>
  <si>
    <t>Nº</t>
  </si>
  <si>
    <t>Data</t>
  </si>
  <si>
    <t>Categoria</t>
  </si>
  <si>
    <t>Descrição / Detalhe</t>
  </si>
  <si>
    <t>Fornecedor</t>
  </si>
  <si>
    <t>Nº Fatura Fornecedor</t>
  </si>
  <si>
    <t>Nº Interno Doc.</t>
  </si>
  <si>
    <t>Tipo</t>
  </si>
  <si>
    <t>Valor (KZ)</t>
  </si>
  <si>
    <t>Forma de Pagamento</t>
  </si>
  <si>
    <t>Observações</t>
  </si>
  <si>
    <t>Alerta Duplicado</t>
  </si>
  <si>
    <t>Empréstimo Sócio</t>
  </si>
  <si>
    <t>Entrada de capital do sócio (total das despesas de arranque)</t>
  </si>
  <si>
    <t>Entrada</t>
  </si>
  <si>
    <t>Transferência</t>
  </si>
  <si>
    <t>Pintura Exterior</t>
  </si>
  <si>
    <t>Tinta para pintura exterior</t>
  </si>
  <si>
    <t>Achour - Comércio Geral</t>
  </si>
  <si>
    <t>829</t>
  </si>
  <si>
    <t>Despesa</t>
  </si>
  <si>
    <t>Cartão Multicaixa</t>
  </si>
  <si>
    <t>Internet / Telefone</t>
  </si>
  <si>
    <t>Telemóvel secretaria</t>
  </si>
  <si>
    <t>Mobismart</t>
  </si>
  <si>
    <t>´202606251721242870014</t>
  </si>
  <si>
    <t>Telemóvel direcção pedagógica</t>
  </si>
  <si>
    <t>´202606251717116930013</t>
  </si>
  <si>
    <t>Cartão SIM 945402542</t>
  </si>
  <si>
    <t>Unitel</t>
  </si>
  <si>
    <t>FR4426S42818N/174541</t>
  </si>
  <si>
    <t>Cartões SIM (3 números)</t>
  </si>
  <si>
    <t>FR4426S42818N/174538</t>
  </si>
  <si>
    <t>Material de Escritório</t>
  </si>
  <si>
    <t>Material de escritório</t>
  </si>
  <si>
    <t>KERO</t>
  </si>
  <si>
    <t>FR8326S25915N/6523</t>
  </si>
  <si>
    <t>Equipamentos</t>
  </si>
  <si>
    <t>4 tinteiros HP Officejet Pro 7740</t>
  </si>
  <si>
    <t>NCR</t>
  </si>
  <si>
    <t>FR4726S809N/35071</t>
  </si>
  <si>
    <t>Outras Despesas</t>
  </si>
  <si>
    <t>2 fechaduras</t>
  </si>
  <si>
    <t>Sahal Trading - Imp. &amp; Exp.</t>
  </si>
  <si>
    <t>RTJ2026/1157</t>
  </si>
  <si>
    <t>Transferência Express</t>
  </si>
  <si>
    <t>Tintas exterior e material construção</t>
  </si>
  <si>
    <t>Comércio Geral - Imp. &amp; Exp.</t>
  </si>
  <si>
    <t>1083</t>
  </si>
  <si>
    <t>Estuque e lixas</t>
  </si>
  <si>
    <t>M.N.A. SD. RAHMA</t>
  </si>
  <si>
    <t>Tintas e material de pintura</t>
  </si>
  <si>
    <t>805</t>
  </si>
  <si>
    <t>Publicidade Exterior</t>
  </si>
  <si>
    <t>Impressão lona pesada 300x900</t>
  </si>
  <si>
    <t>Gráfica TAMACO</t>
  </si>
  <si>
    <t>AFA7F84768594FCA</t>
  </si>
  <si>
    <t>Panfletos / Publicidade</t>
  </si>
  <si>
    <t>Impressão 500 panfletos A5</t>
  </si>
  <si>
    <t>8 lâmpadas fluorescentes + arrancadores</t>
  </si>
  <si>
    <t>DDH - Comércio Geral</t>
  </si>
  <si>
    <t>2441</t>
  </si>
  <si>
    <t>Material Serralharia</t>
  </si>
  <si>
    <t>Material para serralharia</t>
  </si>
  <si>
    <t>DKJF</t>
  </si>
  <si>
    <t>´029</t>
  </si>
  <si>
    <t>5 garrafões gasóleo 20L</t>
  </si>
  <si>
    <t>Sonangol Distribuidora</t>
  </si>
  <si>
    <t>FR 202655/21059</t>
  </si>
  <si>
    <t>Dinheiro</t>
  </si>
  <si>
    <t>Impressão vinil 150x350</t>
  </si>
  <si>
    <t>7101738663</t>
  </si>
  <si>
    <t>Corrente + cadeado grande</t>
  </si>
  <si>
    <t>Praça</t>
  </si>
  <si>
    <t>0279716</t>
  </si>
  <si>
    <t>Material manutenção gerador</t>
  </si>
  <si>
    <t>Beledear Comércio Geral</t>
  </si>
  <si>
    <t>FT 2026/1862</t>
  </si>
  <si>
    <t>20m rede para sombra</t>
  </si>
  <si>
    <t>1254</t>
  </si>
  <si>
    <t>Conserto bomba injetora gerador</t>
  </si>
  <si>
    <t>3 baldes tinta Coelho amarelo</t>
  </si>
  <si>
    <t>Bouke Salem</t>
  </si>
  <si>
    <t>367</t>
  </si>
  <si>
    <t>Tintas de óleo para decoração exterior</t>
  </si>
  <si>
    <t>Transporte s/ Fatura</t>
  </si>
  <si>
    <t>Táxi funcionário (Pedro Pintor)</t>
  </si>
  <si>
    <t>Táxi funcionário (Ribeiro)</t>
  </si>
  <si>
    <t>Impressão 3 peças vinil exterior</t>
  </si>
  <si>
    <t>Serralharia</t>
  </si>
  <si>
    <t>Mão de obra serralheiro</t>
  </si>
  <si>
    <t>Mão de Obra</t>
  </si>
  <si>
    <t>Mão de obra mecânico</t>
  </si>
  <si>
    <t>Trabalhos de serralharia + transporte</t>
  </si>
  <si>
    <t>Serralheiro</t>
  </si>
  <si>
    <t>Táxi serralheiro</t>
  </si>
  <si>
    <t>Táxi</t>
  </si>
  <si>
    <t>Manutenção do gerador</t>
  </si>
  <si>
    <t>Técnico Gerador</t>
  </si>
  <si>
    <t>Tintas para decoração</t>
  </si>
  <si>
    <t>Novo Ango P.S.E.</t>
  </si>
  <si>
    <t>1038</t>
  </si>
  <si>
    <t>Tinta para decoração</t>
  </si>
  <si>
    <t>Marpeluza</t>
  </si>
  <si>
    <t>73</t>
  </si>
  <si>
    <t>Ferros e material serralharia</t>
  </si>
  <si>
    <t>Primedine - Com. Geral Lda</t>
  </si>
  <si>
    <t>29</t>
  </si>
  <si>
    <t>Impressão 2 lonas</t>
  </si>
  <si>
    <t>Gráfca Capuca</t>
  </si>
  <si>
    <t>255</t>
  </si>
  <si>
    <t>Material para reparos e pintura</t>
  </si>
  <si>
    <t>YEHDIH</t>
  </si>
  <si>
    <t>´0981</t>
  </si>
  <si>
    <t>Mão de obra serralheiro (trabalho 1)</t>
  </si>
  <si>
    <t>Organizações Bom Preço</t>
  </si>
  <si>
    <t>95</t>
  </si>
  <si>
    <t>Tintas e rolos pintura exterior</t>
  </si>
  <si>
    <t>Ana De Jesus Albino</t>
  </si>
  <si>
    <t>Kero</t>
  </si>
  <si>
    <t>FR8326S25932N/23890</t>
  </si>
  <si>
    <t>1039</t>
  </si>
  <si>
    <t>Limpeza / Higiene</t>
  </si>
  <si>
    <t>Material de limpeza</t>
  </si>
  <si>
    <t>FR8326S25932N/23892</t>
  </si>
  <si>
    <t>46</t>
  </si>
  <si>
    <t>Eléctrodos e discos serralharia</t>
  </si>
  <si>
    <t>50</t>
  </si>
  <si>
    <t>Mão de obra serralheiro (trabalho 2)</t>
  </si>
  <si>
    <t>93</t>
  </si>
  <si>
    <t>Mão de obra de pintura</t>
  </si>
  <si>
    <t>Pintor</t>
  </si>
  <si>
    <t>2 baldes tinta branca 20L + táxi</t>
  </si>
  <si>
    <t>1040</t>
  </si>
  <si>
    <t>98D9EF0E92DDC968A0000006900200</t>
  </si>
  <si>
    <t>Salários</t>
  </si>
  <si>
    <t>Pagamento de 2 salários de Julho/26</t>
  </si>
  <si>
    <t>N/A</t>
  </si>
  <si>
    <t>Pagamento de 1/2 salário 2 func. limpeza</t>
  </si>
  <si>
    <t>Despesas de Representação</t>
  </si>
  <si>
    <t>Almoço de negócio para o colégio</t>
  </si>
  <si>
    <t>Almoço de negócio – 13/08/2026</t>
  </si>
  <si>
    <t>GESTÃO DE ARQUIVOS DIGITAIS – DOCUMENTOS DE ARRANQUE / EMPRÉSTIMOS</t>
  </si>
  <si>
    <t>École Consulaire du Congo (Brazzaville) de Luanda  •  Ligado aos Nº Internos (FAT-xxx) da planilha Lançamentos</t>
  </si>
  <si>
    <t>Convenção de nome de ficheiro: FAT-XXX_Categoria_Fornecedor_AAAA-MM-DD.pdf  |  Amarelo = preencher  |  Verde = ligado / calculado</t>
  </si>
  <si>
    <t>RESUMO DO ARQUIVO DIGITAL</t>
  </si>
  <si>
    <t>Total documentos registados</t>
  </si>
  <si>
    <t>Com ficheiro digital (Sim)</t>
  </si>
  <si>
    <t>Sem ficheiro digital (Não / pendente)</t>
  </si>
  <si>
    <t>Local principal do arquivo</t>
  </si>
  <si>
    <t>Google Drive / Pasta partilhada da escola</t>
  </si>
  <si>
    <t>Instruções: 1) Preencha o Nº Interno (ex: FAT-001) — os dados da despesa/entrada são puxados automaticamente. 2) Indique se existe ficheiro digital, o nome do ficheiro e o link/caminho. 3) Use a convenção de nome para organizar as pastas no Drive/PC.</t>
  </si>
  <si>
    <t>Nº Interno</t>
  </si>
  <si>
    <t>Data Doc.</t>
  </si>
  <si>
    <t>Descrição</t>
  </si>
  <si>
    <t>Nº Fatura Forn.</t>
  </si>
  <si>
    <t>Ficheiro Digital?</t>
  </si>
  <si>
    <t>Nome do Ficheiro</t>
  </si>
  <si>
    <t>Tipo Ficheiro</t>
  </si>
  <si>
    <t>Link / Caminho</t>
  </si>
  <si>
    <t>Data Arquivo</t>
  </si>
  <si>
    <t>FAT-001</t>
  </si>
  <si>
    <t>Sim</t>
  </si>
  <si>
    <t>PDF</t>
  </si>
  <si>
    <t>FAT-002</t>
  </si>
  <si>
    <t>Pendente</t>
  </si>
  <si>
    <t>FAT-003</t>
  </si>
  <si>
    <t>FAT-004</t>
  </si>
  <si>
    <t>FAT-005</t>
  </si>
  <si>
    <t>FAT-006</t>
  </si>
  <si>
    <t>FAT-007</t>
  </si>
  <si>
    <t>FAT-008</t>
  </si>
  <si>
    <t>FAT-009</t>
  </si>
  <si>
    <t>FAT-010</t>
  </si>
  <si>
    <t>FAT-011</t>
  </si>
  <si>
    <t>FAT-012</t>
  </si>
  <si>
    <t>FAT-013</t>
  </si>
  <si>
    <t>FAT-014</t>
  </si>
  <si>
    <t>FAT-015</t>
  </si>
  <si>
    <t>FAT-016</t>
  </si>
  <si>
    <t>FAT-017</t>
  </si>
  <si>
    <t>FAT-018</t>
  </si>
  <si>
    <t>FAT-019</t>
  </si>
  <si>
    <t>FAT-020</t>
  </si>
  <si>
    <t>FAT-021</t>
  </si>
  <si>
    <t>FAT-022</t>
  </si>
  <si>
    <t>FAT-023</t>
  </si>
  <si>
    <t>FAT-024</t>
  </si>
  <si>
    <t>FAT-025</t>
  </si>
  <si>
    <t>FAT-026</t>
  </si>
  <si>
    <t>FAT-027</t>
  </si>
  <si>
    <t>FAT-028</t>
  </si>
  <si>
    <t>FAT-029</t>
  </si>
  <si>
    <t>FAT-030</t>
  </si>
  <si>
    <t>FAT-031</t>
  </si>
  <si>
    <t>FAT-032</t>
  </si>
  <si>
    <t>FAT-033</t>
  </si>
  <si>
    <t>FAT-034</t>
  </si>
  <si>
    <t>FAT-035</t>
  </si>
  <si>
    <t>FAT-036</t>
  </si>
  <si>
    <t>FAT-037</t>
  </si>
  <si>
    <t>FAT-038</t>
  </si>
  <si>
    <t>FAT-039</t>
  </si>
  <si>
    <t>FAT-040</t>
  </si>
  <si>
    <t>FAT-041</t>
  </si>
  <si>
    <t>FAT-042</t>
  </si>
  <si>
    <t>FAT-043</t>
  </si>
  <si>
    <t>FAT-044</t>
  </si>
  <si>
    <t>FAT-045</t>
  </si>
  <si>
    <t>FAT-046</t>
  </si>
  <si>
    <t>FAT-047</t>
  </si>
  <si>
    <t>FAT-048</t>
  </si>
  <si>
    <t>FAT-049</t>
  </si>
  <si>
    <t>FAT-050</t>
  </si>
  <si>
    <t>FAT-051</t>
  </si>
  <si>
    <t>FAT-052</t>
  </si>
  <si>
    <t>CONVENÇÃO DE NOMES E PASTAS RECOMENDADA</t>
  </si>
  <si>
    <t>Estrutura de pastas sugerida (Google Drive / PC):
/Arquivo Digital Escola/
  /2026-2027 Arranque/
    /01 Emprestimos e Adiantamentos/
    /02 Pintura/
    /03 Serralharia/
    /04 Mao de Obra/
    /05 Publicidade/
    /06 Material Escritorio/
    /07 Salarios/
    /08 Transporte/
    /09 Compras Mercado/
    /10 Outros/
Nome do ficheiro: FAT-001_Pintura-Exterior_2026-07-05.pdf
Assim o Nº Interno (FAT-xxx) fica sempre visível no nome do ficheiro e no registo desta planilha.</t>
  </si>
  <si>
    <t>RESUMO POR CATEGORIA DE DESPESA / ENTRADA</t>
  </si>
  <si>
    <t>Totais calculados automaticamente a partir da planilha Lançamentos</t>
  </si>
  <si>
    <t>Total Entradas (KZ)</t>
  </si>
  <si>
    <t>Total Despesas (KZ)</t>
  </si>
  <si>
    <t>Observação</t>
  </si>
  <si>
    <t>Adiantamento Sócio</t>
  </si>
  <si>
    <t>Pintura Interior</t>
  </si>
  <si>
    <t>Uniformes</t>
  </si>
  <si>
    <t>Mobiliário</t>
  </si>
  <si>
    <t>Água / Luz</t>
  </si>
  <si>
    <t>Transporte</t>
  </si>
  <si>
    <t>Transporte c/ Fatura</t>
  </si>
  <si>
    <t>Compras Mercado s/ Fatura</t>
  </si>
  <si>
    <t>Licenças / Taxas</t>
  </si>
  <si>
    <t>Ação Social</t>
  </si>
  <si>
    <t>TOTAL GERAL</t>
  </si>
  <si>
    <t>TOTAL A REEMBOLSAR AO SÓCIO (Entradas)</t>
  </si>
  <si>
    <t>LISTA DE CATEGORIAS SUGERIDAS</t>
  </si>
  <si>
    <t>Tipo típico</t>
  </si>
  <si>
    <t>Pode acrescentar novas categorias na lista suspensa da planilha Lançamentos se necessário.</t>
  </si>
  <si>
    <t>FR 22026/28686</t>
  </si>
  <si>
    <t>Deslocações e Estadias</t>
  </si>
  <si>
    <t>Restaurante Convés</t>
  </si>
  <si>
    <t>Teresa, Adelaide</t>
  </si>
  <si>
    <t>Ação Social / Custo com Pessoal</t>
  </si>
  <si>
    <t>Despesas Confindencias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</si>
</sst>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;@"/>
    <numFmt numFmtId="165" formatCode="m/d/yyyy"/>
  </numFmts>
  <fonts count="19" x14ac:knownFonts="1">
    <font>
      <sz val="11"/>
      <color theme="1"/>
      <name val="Calibri"/>
      <family val="2"/>
      <charset val="1"/>
    </font>
    <font>
      <b/>
      <sz val="11"/>
      <name val="Arial"/>
      <charset val="1"/>
    </font>
    <font>
      <sz val="9"/>
      <name val="Arial"/>
      <charset val="1"/>
    </font>
    <font>
      <i/>
      <sz val="8"/>
      <name val="Arial"/>
      <charset val="1"/>
    </font>
    <font>
      <b/>
      <sz val="10"/>
      <name val="Arial"/>
      <charset val="1"/>
    </font>
    <font>
      <i/>
      <sz val="7.5"/>
      <name val="Arial"/>
      <charset val="1"/>
    </font>
    <font>
      <b/>
      <sz val="8"/>
      <color rgb="FFFFFFFF"/>
      <name val="Arial"/>
      <charset val="1"/>
    </font>
    <font>
      <sz val="10"/>
      <name val="Arial"/>
      <charset val="1"/>
    </font>
    <font>
      <sz val="8"/>
      <name val="Arial"/>
      <charset val="1"/>
    </font>
    <font>
      <sz val="8"/>
      <name val="Arial"/>
      <family val="2"/>
      <charset val="1"/>
    </font>
    <font>
      <b/>
      <sz val="16"/>
      <color rgb="FF1F4E79"/>
      <name val="Arial"/>
      <charset val="1"/>
    </font>
    <font>
      <i/>
      <sz val="9"/>
      <color rgb="FF666666"/>
      <name val="Arial"/>
      <charset val="1"/>
    </font>
    <font>
      <sz val="9"/>
      <color rgb="FF666666"/>
      <name val="Arial"/>
      <charset val="1"/>
    </font>
    <font>
      <b/>
      <sz val="11"/>
      <color rgb="FF1F4E79"/>
      <name val="Arial"/>
      <charset val="1"/>
    </font>
    <font>
      <sz val="10"/>
      <color rgb="FF006600"/>
      <name val="Arial"/>
      <charset val="1"/>
    </font>
    <font>
      <sz val="10"/>
      <color rgb="FF0000FF"/>
      <name val="Arial"/>
      <charset val="1"/>
    </font>
    <font>
      <i/>
      <sz val="8"/>
      <color rgb="FF666666"/>
      <name val="Arial"/>
      <charset val="1"/>
    </font>
    <font>
      <b/>
      <sz val="10"/>
      <color rgb="FFFFFFFF"/>
      <name val="Arial"/>
      <charset val="1"/>
    </font>
    <font>
      <b/>
      <sz val="11"/>
      <color rgb="FFFFFFFF"/>
      <name val="Arial"/>
      <charset val="1"/>
    </font>
  </fonts>
  <fills count="11">
    <fill>
      <patternFill patternType="none"/>
    </fill>
    <fill>
      <patternFill patternType="gray125"/>
    </fill>
    <fill>
      <patternFill patternType="solid">
        <fgColor rgb="FFD6DCE4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C00000"/>
        <bgColor rgb="FF9C0006"/>
      </patternFill>
    </fill>
    <fill>
      <patternFill patternType="solid">
        <fgColor rgb="FF1F4E79"/>
        <bgColor rgb="FF2F5496"/>
      </patternFill>
    </fill>
    <fill>
      <patternFill patternType="solid">
        <fgColor rgb="FFFFF2CC"/>
        <bgColor rgb="FFFCE4D6"/>
      </patternFill>
    </fill>
    <fill>
      <patternFill patternType="solid">
        <fgColor rgb="FFF2F2F2"/>
        <bgColor rgb="FFE2EFDA"/>
      </patternFill>
    </fill>
    <fill>
      <patternFill patternType="solid">
        <fgColor rgb="FF2F5496"/>
        <bgColor rgb="FF1F4E79"/>
      </patternFill>
    </fill>
    <fill>
      <patternFill patternType="solid">
        <fgColor rgb="FFC6EFCE"/>
        <bgColor rgb="FFE2EFDA"/>
      </patternFill>
    </fill>
    <fill>
      <patternFill patternType="solid">
        <fgColor rgb="FFFCE4D6"/>
        <bgColor rgb="FFFFF2CC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0" xfId="0" applyAlignment="1"/>
    <xf numFmtId="0" fontId="2" fillId="0" borderId="0" xfId="0" applyFont="1" applyAlignment="1"/>
    <xf numFmtId="4" fontId="4" fillId="3" borderId="0" xfId="0" applyNumberFormat="1" applyFont="1" applyFill="1" applyAlignment="1"/>
    <xf numFmtId="0" fontId="2" fillId="4" borderId="0" xfId="0" applyFont="1" applyFill="1" applyAlignment="1"/>
    <xf numFmtId="4" fontId="4" fillId="4" borderId="0" xfId="0" applyNumberFormat="1" applyFont="1" applyFill="1" applyAlignment="1"/>
    <xf numFmtId="0" fontId="6" fillId="5" borderId="1" xfId="0" applyFont="1" applyFill="1" applyBorder="1" applyAlignment="1">
      <alignment horizontal="center" vertical="center" wrapText="1"/>
    </xf>
    <xf numFmtId="0" fontId="7" fillId="0" borderId="0" xfId="0" applyFont="1" applyAlignment="1"/>
    <xf numFmtId="0" fontId="8" fillId="3" borderId="1" xfId="0" applyFont="1" applyFill="1" applyBorder="1" applyAlignment="1">
      <alignment horizontal="center" vertical="center" wrapText="1"/>
    </xf>
    <xf numFmtId="164" fontId="8" fillId="6" borderId="1" xfId="0" applyNumberFormat="1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left" vertical="center" wrapText="1"/>
    </xf>
    <xf numFmtId="3" fontId="8" fillId="6" borderId="1" xfId="0" applyNumberFormat="1" applyFont="1" applyFill="1" applyBorder="1" applyAlignment="1">
      <alignment horizontal="right" vertical="center" wrapText="1"/>
    </xf>
    <xf numFmtId="0" fontId="8" fillId="6" borderId="1" xfId="0" applyFont="1" applyFill="1" applyBorder="1" applyAlignment="1">
      <alignment horizontal="center" vertical="center" wrapText="1"/>
    </xf>
    <xf numFmtId="4" fontId="8" fillId="6" borderId="1" xfId="0" applyNumberFormat="1" applyFont="1" applyFill="1" applyBorder="1" applyAlignment="1">
      <alignment horizontal="right" vertical="center"/>
    </xf>
    <xf numFmtId="0" fontId="8" fillId="0" borderId="1" xfId="0" applyFont="1" applyBorder="1" applyAlignment="1">
      <alignment horizontal="left" vertical="center" wrapText="1"/>
    </xf>
    <xf numFmtId="0" fontId="8" fillId="7" borderId="1" xfId="0" applyFont="1" applyFill="1" applyBorder="1" applyAlignment="1">
      <alignment horizontal="left" vertical="center" wrapText="1"/>
    </xf>
    <xf numFmtId="0" fontId="9" fillId="6" borderId="1" xfId="0" applyFont="1" applyFill="1" applyBorder="1" applyAlignment="1">
      <alignment horizontal="left" vertical="center" wrapText="1"/>
    </xf>
    <xf numFmtId="3" fontId="9" fillId="6" borderId="1" xfId="0" applyNumberFormat="1" applyFont="1" applyFill="1" applyBorder="1" applyAlignment="1">
      <alignment horizontal="right" vertical="center" wrapText="1"/>
    </xf>
    <xf numFmtId="0" fontId="14" fillId="3" borderId="0" xfId="0" applyFont="1" applyFill="1" applyAlignment="1">
      <alignment horizontal="center" vertical="center" wrapText="1"/>
    </xf>
    <xf numFmtId="0" fontId="17" fillId="8" borderId="2" xfId="0" applyFont="1" applyFill="1" applyBorder="1" applyAlignment="1">
      <alignment horizontal="center" vertical="center" wrapText="1"/>
    </xf>
    <xf numFmtId="0" fontId="15" fillId="6" borderId="2" xfId="0" applyFont="1" applyFill="1" applyBorder="1" applyAlignment="1">
      <alignment horizontal="center" vertical="center" wrapText="1"/>
    </xf>
    <xf numFmtId="165" fontId="14" fillId="3" borderId="2" xfId="0" applyNumberFormat="1" applyFont="1" applyFill="1" applyBorder="1" applyAlignment="1">
      <alignment horizontal="center" vertical="center" wrapText="1"/>
    </xf>
    <xf numFmtId="0" fontId="14" fillId="3" borderId="2" xfId="0" applyFont="1" applyFill="1" applyBorder="1" applyAlignment="1"/>
    <xf numFmtId="3" fontId="14" fillId="3" borderId="2" xfId="0" applyNumberFormat="1" applyFont="1" applyFill="1" applyBorder="1" applyAlignment="1">
      <alignment horizontal="center" vertical="center" wrapText="1"/>
    </xf>
    <xf numFmtId="0" fontId="15" fillId="6" borderId="2" xfId="0" applyFont="1" applyFill="1" applyBorder="1" applyAlignment="1">
      <alignment horizontal="left" vertical="center" wrapText="1"/>
    </xf>
    <xf numFmtId="165" fontId="15" fillId="6" borderId="2" xfId="0" applyNumberFormat="1" applyFont="1" applyFill="1" applyBorder="1" applyAlignment="1">
      <alignment horizontal="center" vertical="center" wrapText="1"/>
    </xf>
    <xf numFmtId="0" fontId="15" fillId="6" borderId="2" xfId="0" applyFont="1" applyFill="1" applyBorder="1" applyAlignment="1"/>
    <xf numFmtId="0" fontId="14" fillId="3" borderId="2" xfId="0" applyFont="1" applyFill="1" applyBorder="1" applyAlignment="1">
      <alignment horizontal="center" vertical="center" wrapText="1"/>
    </xf>
    <xf numFmtId="3" fontId="0" fillId="0" borderId="0" xfId="0" applyNumberFormat="1" applyAlignment="1"/>
    <xf numFmtId="0" fontId="0" fillId="0" borderId="0" xfId="0" applyFont="1" applyAlignment="1"/>
    <xf numFmtId="0" fontId="7" fillId="0" borderId="2" xfId="0" applyFont="1" applyBorder="1" applyAlignment="1"/>
    <xf numFmtId="3" fontId="14" fillId="3" borderId="2" xfId="0" applyNumberFormat="1" applyFont="1" applyFill="1" applyBorder="1" applyAlignment="1"/>
    <xf numFmtId="0" fontId="4" fillId="2" borderId="2" xfId="0" applyFont="1" applyFill="1" applyBorder="1" applyAlignment="1"/>
    <xf numFmtId="3" fontId="4" fillId="2" borderId="2" xfId="0" applyNumberFormat="1" applyFont="1" applyFill="1" applyBorder="1" applyAlignment="1"/>
    <xf numFmtId="0" fontId="7" fillId="2" borderId="2" xfId="0" applyFont="1" applyFill="1" applyBorder="1" applyAlignment="1"/>
    <xf numFmtId="0" fontId="18" fillId="4" borderId="0" xfId="0" applyFont="1" applyFill="1" applyAlignment="1"/>
    <xf numFmtId="0" fontId="17" fillId="8" borderId="0" xfId="0" applyFont="1" applyFill="1" applyAlignment="1"/>
    <xf numFmtId="0" fontId="0" fillId="0" borderId="2" xfId="0" applyFont="1" applyBorder="1" applyAlignment="1"/>
    <xf numFmtId="0" fontId="0" fillId="9" borderId="2" xfId="0" applyFont="1" applyFill="1" applyBorder="1" applyAlignment="1"/>
    <xf numFmtId="0" fontId="0" fillId="10" borderId="2" xfId="0" applyFont="1" applyFill="1" applyBorder="1" applyAlignment="1"/>
    <xf numFmtId="0" fontId="11" fillId="0" borderId="2" xfId="0" applyFont="1" applyBorder="1" applyAlignment="1"/>
    <xf numFmtId="0" fontId="11" fillId="0" borderId="0" xfId="0" applyFont="1" applyAlignment="1"/>
    <xf numFmtId="0" fontId="1" fillId="0" borderId="0" xfId="0" applyFont="1" applyBorder="1" applyAlignment="1">
      <alignment horizontal="left" vertical="center"/>
    </xf>
    <xf numFmtId="0" fontId="2" fillId="0" borderId="0" xfId="0" applyFont="1" applyBorder="1" applyAlignment="1"/>
    <xf numFmtId="0" fontId="3" fillId="0" borderId="0" xfId="0" applyFont="1" applyBorder="1" applyAlignment="1"/>
    <xf numFmtId="0" fontId="4" fillId="2" borderId="0" xfId="0" applyFont="1" applyFill="1" applyBorder="1" applyAlignment="1"/>
    <xf numFmtId="0" fontId="5" fillId="0" borderId="0" xfId="0" applyFont="1" applyBorder="1" applyAlignment="1">
      <alignment vertical="center" wrapText="1"/>
    </xf>
    <xf numFmtId="0" fontId="16" fillId="0" borderId="0" xfId="0" applyFont="1" applyBorder="1" applyAlignment="1"/>
    <xf numFmtId="0" fontId="0" fillId="0" borderId="0" xfId="0" applyFont="1" applyBorder="1" applyAlignment="1"/>
    <xf numFmtId="0" fontId="0" fillId="0" borderId="0" xfId="0" applyFont="1" applyBorder="1" applyAlignment="1">
      <alignment horizontal="left" wrapText="1"/>
    </xf>
    <xf numFmtId="0" fontId="10" fillId="0" borderId="0" xfId="0" applyFont="1" applyBorder="1" applyAlignment="1"/>
    <xf numFmtId="0" fontId="11" fillId="0" borderId="0" xfId="0" applyFont="1" applyBorder="1" applyAlignment="1"/>
    <xf numFmtId="0" fontId="12" fillId="0" borderId="0" xfId="0" applyFont="1" applyBorder="1" applyAlignment="1"/>
    <xf numFmtId="0" fontId="13" fillId="2" borderId="0" xfId="0" applyFont="1" applyFill="1" applyBorder="1" applyAlignment="1"/>
    <xf numFmtId="0" fontId="15" fillId="6" borderId="0" xfId="0" applyFont="1" applyFill="1" applyBorder="1" applyAlignment="1"/>
    <xf numFmtId="0" fontId="11" fillId="0" borderId="0" xfId="0" applyFont="1" applyFill="1" applyBorder="1" applyAlignment="1"/>
  </cellXfs>
  <cellStyles count="1">
    <cellStyle name="Normal" xfId="0" builtinId="0"/>
  </cellStyles>
  <dxfs count="4">
    <dxf>
      <fill>
        <patternFill>
          <bgColor rgb="FFC6EFCE"/>
        </patternFill>
      </fill>
    </dxf>
    <dxf>
      <fill>
        <patternFill>
          <bgColor rgb="FFFCE4D6"/>
        </patternFill>
      </fill>
    </dxf>
    <dxf>
      <font>
        <sz val="10"/>
        <color rgb="FF9C0006"/>
        <name val="Arial"/>
        <charset val="1"/>
      </font>
      <fill>
        <patternFill>
          <bgColor rgb="FFFFC7CE"/>
        </patternFill>
      </fill>
    </dxf>
    <dxf>
      <font>
        <sz val="10"/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6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2CC"/>
      <rgbColor rgb="FFE2EFDA"/>
      <rgbColor rgb="FF660066"/>
      <rgbColor rgb="FFFF8080"/>
      <rgbColor rgb="FF0066CC"/>
      <rgbColor rgb="FFD6D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CE4D6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66"/>
      <rgbColor rgb="FFA0A0A0"/>
      <rgbColor rgb="FF1F4E79"/>
      <rgbColor rgb="FF339966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200"/>
  <sheetViews>
    <sheetView showGridLines="0" zoomScaleNormal="100" workbookViewId="0">
      <pane ySplit="11" topLeftCell="A12" activePane="bottomLeft" state="frozen"/>
      <selection pane="bottomLeft" activeCell="J13" sqref="J13"/>
    </sheetView>
  </sheetViews>
  <sheetFormatPr defaultColWidth="8.7109375" defaultRowHeight="15" x14ac:dyDescent="0.25"/>
  <cols>
    <col min="1" max="1" width="24.85546875" style="1" customWidth="1"/>
    <col min="2" max="2" width="12.140625" style="1" customWidth="1"/>
    <col min="3" max="3" width="21.42578125" style="1" customWidth="1"/>
    <col min="4" max="4" width="43.28515625" style="1" customWidth="1"/>
    <col min="5" max="5" width="21" style="1" customWidth="1"/>
    <col min="6" max="6" width="28.5703125" style="1" customWidth="1"/>
    <col min="7" max="7" width="10.5703125" style="1" customWidth="1"/>
    <col min="8" max="8" width="8.42578125" style="1" customWidth="1"/>
    <col min="9" max="9" width="11.42578125" style="1" customWidth="1"/>
    <col min="10" max="10" width="17.85546875" style="1" customWidth="1"/>
    <col min="11" max="11" width="31.5703125" style="1" customWidth="1"/>
    <col min="12" max="12" width="12" style="1" customWidth="1"/>
  </cols>
  <sheetData>
    <row r="1" spans="1:14" ht="19.5" customHeight="1" x14ac:dyDescent="0.25">
      <c r="A1" s="42" t="s">
        <v>0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</row>
    <row r="2" spans="1:14" ht="15" customHeight="1" x14ac:dyDescent="0.25">
      <c r="A2" s="43" t="s">
        <v>1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</row>
    <row r="3" spans="1:14" ht="12.75" customHeight="1" x14ac:dyDescent="0.25">
      <c r="A3" s="44" t="s">
        <v>2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</row>
    <row r="5" spans="1:14" ht="15.75" customHeight="1" x14ac:dyDescent="0.25">
      <c r="A5" s="45" t="s">
        <v>3</v>
      </c>
      <c r="B5" s="45"/>
      <c r="C5" s="45"/>
    </row>
    <row r="6" spans="1:14" ht="13.5" customHeight="1" x14ac:dyDescent="0.25">
      <c r="A6" s="2" t="s">
        <v>4</v>
      </c>
      <c r="B6" s="3">
        <f>SUMIF(H12:H200,"Entrada",I12:I200)</f>
        <v>4988379.88</v>
      </c>
      <c r="C6" s="2" t="s">
        <v>5</v>
      </c>
    </row>
    <row r="7" spans="1:14" ht="13.5" customHeight="1" x14ac:dyDescent="0.25">
      <c r="A7" s="2" t="s">
        <v>6</v>
      </c>
      <c r="B7" s="3">
        <f>SUMIF(H12:H200,"Despesa",I12:I200)</f>
        <v>4988379.88</v>
      </c>
      <c r="C7" s="2" t="s">
        <v>5</v>
      </c>
    </row>
    <row r="8" spans="1:14" ht="13.5" customHeight="1" x14ac:dyDescent="0.25">
      <c r="A8" s="4" t="s">
        <v>7</v>
      </c>
      <c r="B8" s="5">
        <f>B6</f>
        <v>4988379.88</v>
      </c>
      <c r="C8" s="4" t="s">
        <v>5</v>
      </c>
    </row>
    <row r="9" spans="1:14" ht="13.5" customHeight="1" x14ac:dyDescent="0.25">
      <c r="A9" s="2" t="s">
        <v>8</v>
      </c>
      <c r="B9" s="3">
        <f>B6-B7</f>
        <v>0</v>
      </c>
      <c r="C9" s="2" t="s">
        <v>5</v>
      </c>
    </row>
    <row r="10" spans="1:14" ht="25.5" customHeight="1" x14ac:dyDescent="0.25">
      <c r="A10" s="46" t="s">
        <v>9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</row>
    <row r="11" spans="1:14" ht="27.75" customHeight="1" x14ac:dyDescent="0.25">
      <c r="A11" s="6" t="s">
        <v>10</v>
      </c>
      <c r="B11" s="6" t="s">
        <v>11</v>
      </c>
      <c r="C11" s="6" t="s">
        <v>12</v>
      </c>
      <c r="D11" s="6" t="s">
        <v>13</v>
      </c>
      <c r="E11" s="6" t="s">
        <v>14</v>
      </c>
      <c r="F11" s="6" t="s">
        <v>15</v>
      </c>
      <c r="G11" s="6" t="s">
        <v>16</v>
      </c>
      <c r="H11" s="6" t="s">
        <v>17</v>
      </c>
      <c r="I11" s="6" t="s">
        <v>18</v>
      </c>
      <c r="J11" s="6" t="s">
        <v>19</v>
      </c>
      <c r="K11" s="6" t="s">
        <v>20</v>
      </c>
      <c r="L11" s="6" t="s">
        <v>21</v>
      </c>
      <c r="M11" s="7"/>
      <c r="N11" s="7"/>
    </row>
    <row r="12" spans="1:14" ht="15" customHeight="1" x14ac:dyDescent="0.25">
      <c r="A12" s="8">
        <f>IF(B12="","",COUNTA($B$12:B12))</f>
        <v>1</v>
      </c>
      <c r="B12" s="9">
        <v>46187</v>
      </c>
      <c r="C12" s="10" t="s">
        <v>22</v>
      </c>
      <c r="D12" s="10" t="s">
        <v>23</v>
      </c>
      <c r="E12" s="10"/>
      <c r="F12" s="11"/>
      <c r="G12" s="8" t="str">
        <f>IF(B12="","","FAT-"&amp;TEXT(COUNTA($B$12:B12),"000"))</f>
        <v>FAT-001</v>
      </c>
      <c r="H12" s="12" t="s">
        <v>24</v>
      </c>
      <c r="I12" s="13">
        <v>4988379.88</v>
      </c>
      <c r="J12" s="10" t="s">
        <v>25</v>
      </c>
      <c r="K12" s="10"/>
      <c r="L12" s="14" t="str">
        <f t="shared" ref="L12:L43" si="0">IF(B12="","",IF(AND(F12&lt;&gt;"",COUNTIF($F$12:$F$200,F12)&gt;1),"⚠ FATURA DUPLICADA",IF(AND(E12&lt;&gt;"",F12&lt;&gt;"",COUNTIFS($E$12:$E$200,E12,$F$12:$F$200,F12)&gt;1),"⚠ DUPLICADO","")))</f>
        <v/>
      </c>
      <c r="M12" s="7"/>
      <c r="N12" s="7"/>
    </row>
    <row r="13" spans="1:14" ht="15" customHeight="1" x14ac:dyDescent="0.25">
      <c r="A13" s="8">
        <f>IF(B13="","",COUNTA($B$12:B13))</f>
        <v>2</v>
      </c>
      <c r="B13" s="9">
        <v>46187</v>
      </c>
      <c r="C13" s="10" t="s">
        <v>26</v>
      </c>
      <c r="D13" s="10" t="s">
        <v>27</v>
      </c>
      <c r="E13" s="10" t="s">
        <v>28</v>
      </c>
      <c r="F13" s="11" t="s">
        <v>29</v>
      </c>
      <c r="G13" s="8" t="str">
        <f>IF(B13="","","FAT-"&amp;TEXT(COUNTA($B$12:B13),"000"))</f>
        <v>FAT-002</v>
      </c>
      <c r="H13" s="12" t="s">
        <v>30</v>
      </c>
      <c r="I13" s="13">
        <v>265000</v>
      </c>
      <c r="J13" s="10" t="s">
        <v>31</v>
      </c>
      <c r="K13" s="10"/>
      <c r="L13" s="15" t="str">
        <f t="shared" si="0"/>
        <v/>
      </c>
      <c r="M13" s="7"/>
      <c r="N13" s="7"/>
    </row>
    <row r="14" spans="1:14" ht="15" customHeight="1" x14ac:dyDescent="0.25">
      <c r="A14" s="8">
        <f>IF(B14="","",COUNTA($B$12:B14))</f>
        <v>3</v>
      </c>
      <c r="B14" s="9">
        <v>46198</v>
      </c>
      <c r="C14" s="10" t="s">
        <v>32</v>
      </c>
      <c r="D14" s="10" t="s">
        <v>33</v>
      </c>
      <c r="E14" s="10" t="s">
        <v>34</v>
      </c>
      <c r="F14" s="11" t="s">
        <v>35</v>
      </c>
      <c r="G14" s="8" t="str">
        <f>IF(B14="","","FAT-"&amp;TEXT(COUNTA($B$12:B14),"000"))</f>
        <v>FAT-003</v>
      </c>
      <c r="H14" s="12" t="s">
        <v>30</v>
      </c>
      <c r="I14" s="13">
        <v>106000</v>
      </c>
      <c r="J14" s="10" t="s">
        <v>31</v>
      </c>
      <c r="K14" s="10"/>
      <c r="L14" s="14" t="str">
        <f t="shared" si="0"/>
        <v/>
      </c>
      <c r="M14" s="7"/>
      <c r="N14" s="7"/>
    </row>
    <row r="15" spans="1:14" ht="15" customHeight="1" x14ac:dyDescent="0.25">
      <c r="A15" s="8">
        <f>IF(B15="","",COUNTA($B$12:B15))</f>
        <v>4</v>
      </c>
      <c r="B15" s="9">
        <v>46198</v>
      </c>
      <c r="C15" s="10" t="s">
        <v>32</v>
      </c>
      <c r="D15" s="10" t="s">
        <v>36</v>
      </c>
      <c r="E15" s="10" t="s">
        <v>34</v>
      </c>
      <c r="F15" s="11" t="s">
        <v>37</v>
      </c>
      <c r="G15" s="8" t="str">
        <f>IF(B15="","","FAT-"&amp;TEXT(COUNTA($B$12:B15),"000"))</f>
        <v>FAT-004</v>
      </c>
      <c r="H15" s="12" t="s">
        <v>30</v>
      </c>
      <c r="I15" s="13">
        <v>106000</v>
      </c>
      <c r="J15" s="10" t="s">
        <v>31</v>
      </c>
      <c r="K15" s="10"/>
      <c r="L15" s="15" t="str">
        <f t="shared" si="0"/>
        <v/>
      </c>
      <c r="M15" s="7"/>
      <c r="N15" s="7"/>
    </row>
    <row r="16" spans="1:14" ht="15" customHeight="1" x14ac:dyDescent="0.25">
      <c r="A16" s="8">
        <f>IF(B16="","",COUNTA($B$12:B16))</f>
        <v>5</v>
      </c>
      <c r="B16" s="9">
        <v>46198</v>
      </c>
      <c r="C16" s="10" t="s">
        <v>32</v>
      </c>
      <c r="D16" s="10" t="s">
        <v>38</v>
      </c>
      <c r="E16" s="10" t="s">
        <v>39</v>
      </c>
      <c r="F16" s="11" t="s">
        <v>40</v>
      </c>
      <c r="G16" s="8" t="str">
        <f>IF(B16="","","FAT-"&amp;TEXT(COUNTA($B$12:B16),"000"))</f>
        <v>FAT-005</v>
      </c>
      <c r="H16" s="12" t="s">
        <v>30</v>
      </c>
      <c r="I16" s="13">
        <v>250.01</v>
      </c>
      <c r="J16" s="10" t="s">
        <v>31</v>
      </c>
      <c r="K16" s="10"/>
      <c r="L16" s="14" t="str">
        <f t="shared" si="0"/>
        <v/>
      </c>
      <c r="M16" s="7"/>
      <c r="N16" s="7"/>
    </row>
    <row r="17" spans="1:14" ht="15" customHeight="1" x14ac:dyDescent="0.25">
      <c r="A17" s="8">
        <f>IF(B17="","",COUNTA($B$12:B17))</f>
        <v>6</v>
      </c>
      <c r="B17" s="9">
        <v>46198</v>
      </c>
      <c r="C17" s="10" t="s">
        <v>32</v>
      </c>
      <c r="D17" s="10" t="s">
        <v>41</v>
      </c>
      <c r="E17" s="10" t="s">
        <v>39</v>
      </c>
      <c r="F17" s="11" t="s">
        <v>42</v>
      </c>
      <c r="G17" s="8" t="str">
        <f>IF(B17="","","FAT-"&amp;TEXT(COUNTA($B$12:B17),"000"))</f>
        <v>FAT-006</v>
      </c>
      <c r="H17" s="12" t="s">
        <v>30</v>
      </c>
      <c r="I17" s="13">
        <v>750.03</v>
      </c>
      <c r="J17" s="10" t="s">
        <v>31</v>
      </c>
      <c r="K17" s="10"/>
      <c r="L17" s="15" t="str">
        <f t="shared" si="0"/>
        <v/>
      </c>
      <c r="M17" s="7"/>
      <c r="N17" s="7"/>
    </row>
    <row r="18" spans="1:14" ht="15" customHeight="1" x14ac:dyDescent="0.25">
      <c r="A18" s="8">
        <f>IF(B18="","",COUNTA($B$12:B18))</f>
        <v>7</v>
      </c>
      <c r="B18" s="9">
        <v>46198</v>
      </c>
      <c r="C18" s="10" t="s">
        <v>43</v>
      </c>
      <c r="D18" s="10" t="s">
        <v>44</v>
      </c>
      <c r="E18" s="10" t="s">
        <v>45</v>
      </c>
      <c r="F18" s="11" t="s">
        <v>46</v>
      </c>
      <c r="G18" s="8" t="str">
        <f>IF(B18="","","FAT-"&amp;TEXT(COUNTA($B$12:B18),"000"))</f>
        <v>FAT-007</v>
      </c>
      <c r="H18" s="12" t="s">
        <v>30</v>
      </c>
      <c r="I18" s="13">
        <v>17253</v>
      </c>
      <c r="J18" s="10" t="s">
        <v>31</v>
      </c>
      <c r="K18" s="10"/>
      <c r="L18" s="14" t="str">
        <f t="shared" si="0"/>
        <v/>
      </c>
      <c r="M18" s="7"/>
      <c r="N18" s="7"/>
    </row>
    <row r="19" spans="1:14" ht="15" customHeight="1" x14ac:dyDescent="0.25">
      <c r="A19" s="8">
        <f>IF(B19="","",COUNTA($B$12:B19))</f>
        <v>8</v>
      </c>
      <c r="B19" s="9">
        <v>46199</v>
      </c>
      <c r="C19" s="10" t="s">
        <v>47</v>
      </c>
      <c r="D19" s="10" t="s">
        <v>48</v>
      </c>
      <c r="E19" s="10" t="s">
        <v>49</v>
      </c>
      <c r="F19" s="11" t="s">
        <v>50</v>
      </c>
      <c r="G19" s="8" t="str">
        <f>IF(B19="","","FAT-"&amp;TEXT(COUNTA($B$12:B19),"000"))</f>
        <v>FAT-008</v>
      </c>
      <c r="H19" s="12" t="s">
        <v>30</v>
      </c>
      <c r="I19" s="13">
        <v>158189.82</v>
      </c>
      <c r="J19" s="10" t="s">
        <v>31</v>
      </c>
      <c r="K19" s="10"/>
      <c r="L19" s="15" t="str">
        <f t="shared" si="0"/>
        <v/>
      </c>
      <c r="M19" s="7"/>
      <c r="N19" s="7"/>
    </row>
    <row r="20" spans="1:14" ht="15" customHeight="1" x14ac:dyDescent="0.25">
      <c r="A20" s="8">
        <f>IF(B20="","",COUNTA($B$12:B20))</f>
        <v>9</v>
      </c>
      <c r="B20" s="9">
        <v>46199</v>
      </c>
      <c r="C20" s="10" t="s">
        <v>51</v>
      </c>
      <c r="D20" s="10" t="s">
        <v>52</v>
      </c>
      <c r="E20" s="10" t="s">
        <v>53</v>
      </c>
      <c r="F20" s="11" t="s">
        <v>54</v>
      </c>
      <c r="G20" s="8" t="str">
        <f>IF(B20="","","FAT-"&amp;TEXT(COUNTA($B$12:B20),"000"))</f>
        <v>FAT-009</v>
      </c>
      <c r="H20" s="12" t="s">
        <v>30</v>
      </c>
      <c r="I20" s="13">
        <v>13100</v>
      </c>
      <c r="J20" s="10" t="s">
        <v>55</v>
      </c>
      <c r="K20" s="10"/>
      <c r="L20" s="14" t="str">
        <f t="shared" si="0"/>
        <v/>
      </c>
      <c r="M20" s="7"/>
      <c r="N20" s="7"/>
    </row>
    <row r="21" spans="1:14" ht="15" customHeight="1" x14ac:dyDescent="0.25">
      <c r="A21" s="8">
        <f>IF(B21="","",COUNTA($B$12:B21))</f>
        <v>10</v>
      </c>
      <c r="B21" s="9">
        <v>46204</v>
      </c>
      <c r="C21" s="10" t="s">
        <v>26</v>
      </c>
      <c r="D21" s="10" t="s">
        <v>56</v>
      </c>
      <c r="E21" s="10" t="s">
        <v>57</v>
      </c>
      <c r="F21" s="11" t="s">
        <v>58</v>
      </c>
      <c r="G21" s="8" t="str">
        <f>IF(B21="","","FAT-"&amp;TEXT(COUNTA($B$12:B21),"000"))</f>
        <v>FAT-010</v>
      </c>
      <c r="H21" s="12" t="s">
        <v>30</v>
      </c>
      <c r="I21" s="13">
        <v>58500</v>
      </c>
      <c r="J21" s="10" t="s">
        <v>25</v>
      </c>
      <c r="K21" s="10"/>
      <c r="L21" s="15" t="str">
        <f t="shared" si="0"/>
        <v/>
      </c>
      <c r="M21" s="7"/>
      <c r="N21" s="7"/>
    </row>
    <row r="22" spans="1:14" ht="15" customHeight="1" x14ac:dyDescent="0.25">
      <c r="A22" s="8">
        <f>IF(B22="","",COUNTA($B$12:B22))</f>
        <v>11</v>
      </c>
      <c r="B22" s="9">
        <v>46206</v>
      </c>
      <c r="C22" s="10" t="s">
        <v>51</v>
      </c>
      <c r="D22" s="10" t="s">
        <v>59</v>
      </c>
      <c r="E22" s="10" t="s">
        <v>60</v>
      </c>
      <c r="F22" s="11"/>
      <c r="G22" s="8" t="str">
        <f>IF(B22="","","FAT-"&amp;TEXT(COUNTA($B$12:B22),"000"))</f>
        <v>FAT-011</v>
      </c>
      <c r="H22" s="12" t="s">
        <v>30</v>
      </c>
      <c r="I22" s="13">
        <v>31000</v>
      </c>
      <c r="J22" s="10" t="s">
        <v>25</v>
      </c>
      <c r="K22" s="10"/>
      <c r="L22" s="14" t="str">
        <f t="shared" si="0"/>
        <v/>
      </c>
      <c r="M22" s="7"/>
      <c r="N22" s="7"/>
    </row>
    <row r="23" spans="1:14" ht="15" customHeight="1" x14ac:dyDescent="0.25">
      <c r="A23" s="8">
        <f>IF(B23="","",COUNTA($B$12:B23))</f>
        <v>12</v>
      </c>
      <c r="B23" s="9">
        <v>46211</v>
      </c>
      <c r="C23" s="10" t="s">
        <v>26</v>
      </c>
      <c r="D23" s="10" t="s">
        <v>61</v>
      </c>
      <c r="E23" s="10" t="s">
        <v>28</v>
      </c>
      <c r="F23" s="11" t="s">
        <v>62</v>
      </c>
      <c r="G23" s="8" t="str">
        <f>IF(B23="","","FAT-"&amp;TEXT(COUNTA($B$12:B23),"000"))</f>
        <v>FAT-012</v>
      </c>
      <c r="H23" s="12" t="s">
        <v>30</v>
      </c>
      <c r="I23" s="13">
        <v>128000</v>
      </c>
      <c r="J23" s="10" t="s">
        <v>31</v>
      </c>
      <c r="K23" s="10"/>
      <c r="L23" s="15" t="str">
        <f t="shared" si="0"/>
        <v/>
      </c>
      <c r="M23" s="7"/>
      <c r="N23" s="7"/>
    </row>
    <row r="24" spans="1:14" ht="15" customHeight="1" x14ac:dyDescent="0.25">
      <c r="A24" s="8">
        <f>IF(B24="","",COUNTA($B$12:B24))</f>
        <v>13</v>
      </c>
      <c r="B24" s="9">
        <v>46211</v>
      </c>
      <c r="C24" s="10" t="s">
        <v>63</v>
      </c>
      <c r="D24" s="10" t="s">
        <v>64</v>
      </c>
      <c r="E24" s="10" t="s">
        <v>65</v>
      </c>
      <c r="F24" s="11" t="s">
        <v>66</v>
      </c>
      <c r="G24" s="8" t="str">
        <f>IF(B24="","","FAT-"&amp;TEXT(COUNTA($B$12:B24),"000"))</f>
        <v>FAT-013</v>
      </c>
      <c r="H24" s="12" t="s">
        <v>30</v>
      </c>
      <c r="I24" s="13">
        <v>85000</v>
      </c>
      <c r="J24" s="10" t="s">
        <v>31</v>
      </c>
      <c r="K24" s="10"/>
      <c r="L24" s="14" t="str">
        <f t="shared" si="0"/>
        <v/>
      </c>
      <c r="M24" s="7"/>
      <c r="N24" s="7"/>
    </row>
    <row r="25" spans="1:14" ht="15" customHeight="1" x14ac:dyDescent="0.25">
      <c r="A25" s="8">
        <f>IF(B25="","",COUNTA($B$12:B25))</f>
        <v>14</v>
      </c>
      <c r="B25" s="9">
        <v>46214</v>
      </c>
      <c r="C25" s="10" t="s">
        <v>67</v>
      </c>
      <c r="D25" s="10" t="s">
        <v>68</v>
      </c>
      <c r="E25" s="10" t="s">
        <v>65</v>
      </c>
      <c r="F25" s="11"/>
      <c r="G25" s="8" t="str">
        <f>IF(B25="","","FAT-"&amp;TEXT(COUNTA($B$12:B25),"000"))</f>
        <v>FAT-014</v>
      </c>
      <c r="H25" s="12" t="s">
        <v>30</v>
      </c>
      <c r="I25" s="13">
        <v>100000</v>
      </c>
      <c r="J25" s="10" t="s">
        <v>25</v>
      </c>
      <c r="K25" s="10"/>
      <c r="L25" s="15" t="str">
        <f t="shared" si="0"/>
        <v/>
      </c>
      <c r="M25" s="7"/>
      <c r="N25" s="7"/>
    </row>
    <row r="26" spans="1:14" ht="15" customHeight="1" x14ac:dyDescent="0.25">
      <c r="A26" s="8">
        <f>IF(B26="","",COUNTA($B$12:B26))</f>
        <v>15</v>
      </c>
      <c r="B26" s="9">
        <v>46220</v>
      </c>
      <c r="C26" s="10" t="s">
        <v>47</v>
      </c>
      <c r="D26" s="10" t="s">
        <v>69</v>
      </c>
      <c r="E26" s="10" t="s">
        <v>70</v>
      </c>
      <c r="F26" s="11" t="s">
        <v>71</v>
      </c>
      <c r="G26" s="8" t="str">
        <f>IF(B26="","","FAT-"&amp;TEXT(COUNTA($B$12:B26),"000"))</f>
        <v>FAT-015</v>
      </c>
      <c r="H26" s="12" t="s">
        <v>30</v>
      </c>
      <c r="I26" s="13">
        <v>13600</v>
      </c>
      <c r="J26" s="10" t="s">
        <v>55</v>
      </c>
      <c r="K26" s="10"/>
      <c r="L26" s="14" t="str">
        <f t="shared" si="0"/>
        <v/>
      </c>
      <c r="M26" s="7"/>
      <c r="N26" s="7"/>
    </row>
    <row r="27" spans="1:14" ht="15" customHeight="1" x14ac:dyDescent="0.25">
      <c r="A27" s="8">
        <f>IF(B27="","",COUNTA($B$12:B27))</f>
        <v>16</v>
      </c>
      <c r="B27" s="9">
        <v>46220</v>
      </c>
      <c r="C27" s="10" t="s">
        <v>72</v>
      </c>
      <c r="D27" s="10" t="s">
        <v>73</v>
      </c>
      <c r="E27" s="10" t="s">
        <v>74</v>
      </c>
      <c r="F27" s="11" t="s">
        <v>75</v>
      </c>
      <c r="G27" s="8" t="str">
        <f>IF(B27="","","FAT-"&amp;TEXT(COUNTA($B$12:B27),"000"))</f>
        <v>FAT-016</v>
      </c>
      <c r="H27" s="12" t="s">
        <v>30</v>
      </c>
      <c r="I27" s="13">
        <v>365000</v>
      </c>
      <c r="J27" s="10" t="s">
        <v>31</v>
      </c>
      <c r="K27" s="10"/>
      <c r="L27" s="15" t="str">
        <f t="shared" si="0"/>
        <v/>
      </c>
      <c r="M27" s="7"/>
      <c r="N27" s="7"/>
    </row>
    <row r="28" spans="1:14" ht="15" customHeight="1" x14ac:dyDescent="0.25">
      <c r="A28" s="8">
        <f>IF(B28="","",COUNTA($B$12:B28))</f>
        <v>17</v>
      </c>
      <c r="B28" s="9">
        <v>46221</v>
      </c>
      <c r="C28" s="10" t="s">
        <v>47</v>
      </c>
      <c r="D28" s="10" t="s">
        <v>76</v>
      </c>
      <c r="E28" s="10" t="s">
        <v>77</v>
      </c>
      <c r="F28" s="11" t="s">
        <v>78</v>
      </c>
      <c r="G28" s="8" t="str">
        <f>IF(B28="","","FAT-"&amp;TEXT(COUNTA($B$12:B28),"000"))</f>
        <v>FAT-017</v>
      </c>
      <c r="H28" s="12" t="s">
        <v>30</v>
      </c>
      <c r="I28" s="13">
        <v>42000</v>
      </c>
      <c r="J28" s="10" t="s">
        <v>79</v>
      </c>
      <c r="K28" s="10"/>
      <c r="L28" s="14" t="str">
        <f t="shared" si="0"/>
        <v/>
      </c>
      <c r="M28" s="7"/>
      <c r="N28" s="7"/>
    </row>
    <row r="29" spans="1:14" ht="15" customHeight="1" x14ac:dyDescent="0.25">
      <c r="A29" s="8">
        <f>IF(B29="","",COUNTA($B$12:B29))</f>
        <v>18</v>
      </c>
      <c r="B29" s="9">
        <v>46222</v>
      </c>
      <c r="C29" s="10" t="s">
        <v>63</v>
      </c>
      <c r="D29" s="10" t="s">
        <v>80</v>
      </c>
      <c r="E29" s="10" t="s">
        <v>65</v>
      </c>
      <c r="F29" s="11" t="s">
        <v>81</v>
      </c>
      <c r="G29" s="8" t="str">
        <f>IF(B29="","","FAT-"&amp;TEXT(COUNTA($B$12:B29),"000"))</f>
        <v>FAT-018</v>
      </c>
      <c r="H29" s="12" t="s">
        <v>30</v>
      </c>
      <c r="I29" s="13">
        <v>30000</v>
      </c>
      <c r="J29" s="10" t="s">
        <v>25</v>
      </c>
      <c r="K29" s="10"/>
      <c r="L29" s="15" t="str">
        <f t="shared" si="0"/>
        <v/>
      </c>
      <c r="M29" s="7"/>
      <c r="N29" s="7"/>
    </row>
    <row r="30" spans="1:14" ht="15" customHeight="1" x14ac:dyDescent="0.25">
      <c r="A30" s="8">
        <f>IF(B30="","",COUNTA($B$12:B30))</f>
        <v>19</v>
      </c>
      <c r="B30" s="9">
        <v>46224</v>
      </c>
      <c r="C30" s="10" t="s">
        <v>51</v>
      </c>
      <c r="D30" s="10" t="s">
        <v>82</v>
      </c>
      <c r="E30" s="10" t="s">
        <v>83</v>
      </c>
      <c r="F30" s="11" t="s">
        <v>84</v>
      </c>
      <c r="G30" s="8" t="str">
        <f>IF(B30="","","FAT-"&amp;TEXT(COUNTA($B$12:B30),"000"))</f>
        <v>FAT-019</v>
      </c>
      <c r="H30" s="12" t="s">
        <v>30</v>
      </c>
      <c r="I30" s="13">
        <v>19000</v>
      </c>
      <c r="J30" s="10" t="s">
        <v>79</v>
      </c>
      <c r="K30" s="10"/>
      <c r="L30" s="14" t="str">
        <f t="shared" si="0"/>
        <v/>
      </c>
      <c r="M30" s="7"/>
      <c r="N30" s="7"/>
    </row>
    <row r="31" spans="1:14" ht="15" customHeight="1" x14ac:dyDescent="0.25">
      <c r="A31" s="8">
        <f>IF(B31="","",COUNTA($B$12:B31))</f>
        <v>20</v>
      </c>
      <c r="B31" s="9">
        <v>46225</v>
      </c>
      <c r="C31" s="10" t="s">
        <v>47</v>
      </c>
      <c r="D31" s="10" t="s">
        <v>85</v>
      </c>
      <c r="E31" s="10" t="s">
        <v>86</v>
      </c>
      <c r="F31" s="11" t="s">
        <v>87</v>
      </c>
      <c r="G31" s="8" t="str">
        <f>IF(B31="","","FAT-"&amp;TEXT(COUNTA($B$12:B31),"000"))</f>
        <v>FAT-020</v>
      </c>
      <c r="H31" s="12" t="s">
        <v>30</v>
      </c>
      <c r="I31" s="13">
        <v>348500.02</v>
      </c>
      <c r="J31" s="10" t="s">
        <v>25</v>
      </c>
      <c r="K31" s="10"/>
      <c r="L31" s="15" t="str">
        <f t="shared" si="0"/>
        <v/>
      </c>
      <c r="M31" s="7"/>
      <c r="N31" s="7"/>
    </row>
    <row r="32" spans="1:14" ht="15" customHeight="1" x14ac:dyDescent="0.25">
      <c r="A32" s="8">
        <f>IF(B32="","",COUNTA($B$12:B32))</f>
        <v>21</v>
      </c>
      <c r="B32" s="9">
        <v>46226</v>
      </c>
      <c r="C32" s="10" t="s">
        <v>51</v>
      </c>
      <c r="D32" s="10" t="s">
        <v>88</v>
      </c>
      <c r="E32" s="10" t="s">
        <v>57</v>
      </c>
      <c r="F32" s="11" t="s">
        <v>89</v>
      </c>
      <c r="G32" s="8" t="str">
        <f>IF(B32="","","FAT-"&amp;TEXT(COUNTA($B$12:B32),"000"))</f>
        <v>FAT-021</v>
      </c>
      <c r="H32" s="12" t="s">
        <v>30</v>
      </c>
      <c r="I32" s="13">
        <v>50000</v>
      </c>
      <c r="J32" s="10" t="s">
        <v>55</v>
      </c>
      <c r="K32" s="10"/>
      <c r="L32" s="14" t="str">
        <f t="shared" si="0"/>
        <v/>
      </c>
      <c r="M32" s="7"/>
      <c r="N32" s="7"/>
    </row>
    <row r="33" spans="1:14" ht="15" customHeight="1" x14ac:dyDescent="0.25">
      <c r="A33" s="8">
        <f>IF(B33="","",COUNTA($B$12:B33))</f>
        <v>22</v>
      </c>
      <c r="B33" s="9">
        <v>46226</v>
      </c>
      <c r="C33" s="10" t="s">
        <v>47</v>
      </c>
      <c r="D33" s="10" t="s">
        <v>90</v>
      </c>
      <c r="E33" s="10"/>
      <c r="F33" s="11"/>
      <c r="G33" s="8" t="str">
        <f>IF(B33="","","FAT-"&amp;TEXT(COUNTA($B$12:B33),"000"))</f>
        <v>FAT-022</v>
      </c>
      <c r="H33" s="12" t="s">
        <v>30</v>
      </c>
      <c r="I33" s="13">
        <v>25000</v>
      </c>
      <c r="J33" s="10" t="s">
        <v>55</v>
      </c>
      <c r="K33" s="10"/>
      <c r="L33" s="15" t="str">
        <f t="shared" si="0"/>
        <v/>
      </c>
      <c r="M33" s="7"/>
      <c r="N33" s="7"/>
    </row>
    <row r="34" spans="1:14" ht="15" customHeight="1" x14ac:dyDescent="0.25">
      <c r="A34" s="8">
        <f>IF(B34="","",COUNTA($B$12:B34))</f>
        <v>23</v>
      </c>
      <c r="B34" s="9">
        <v>46226</v>
      </c>
      <c r="C34" s="10" t="s">
        <v>26</v>
      </c>
      <c r="D34" s="10" t="s">
        <v>91</v>
      </c>
      <c r="E34" s="10" t="s">
        <v>92</v>
      </c>
      <c r="F34" s="11" t="s">
        <v>93</v>
      </c>
      <c r="G34" s="8" t="str">
        <f>IF(B34="","","FAT-"&amp;TEXT(COUNTA($B$12:B34),"000"))</f>
        <v>FAT-023</v>
      </c>
      <c r="H34" s="12" t="s">
        <v>30</v>
      </c>
      <c r="I34" s="13">
        <v>150000</v>
      </c>
      <c r="J34" s="10" t="s">
        <v>25</v>
      </c>
      <c r="K34" s="10"/>
      <c r="L34" s="14" t="str">
        <f t="shared" si="0"/>
        <v/>
      </c>
      <c r="M34" s="7"/>
      <c r="N34" s="7"/>
    </row>
    <row r="35" spans="1:14" ht="15" customHeight="1" x14ac:dyDescent="0.25">
      <c r="A35" s="8">
        <f>IF(B35="","",COUNTA($B$12:B35))</f>
        <v>24</v>
      </c>
      <c r="B35" s="9">
        <v>46226</v>
      </c>
      <c r="C35" s="10" t="s">
        <v>26</v>
      </c>
      <c r="D35" s="10" t="s">
        <v>94</v>
      </c>
      <c r="E35" s="10"/>
      <c r="F35" s="11"/>
      <c r="G35" s="8" t="str">
        <f>IF(B35="","","FAT-"&amp;TEXT(COUNTA($B$12:B35),"000"))</f>
        <v>FAT-024</v>
      </c>
      <c r="H35" s="12" t="s">
        <v>30</v>
      </c>
      <c r="I35" s="13">
        <v>97000</v>
      </c>
      <c r="J35" s="10" t="s">
        <v>55</v>
      </c>
      <c r="K35" s="10"/>
      <c r="L35" s="15" t="str">
        <f t="shared" si="0"/>
        <v/>
      </c>
      <c r="M35" s="7"/>
      <c r="N35" s="7"/>
    </row>
    <row r="36" spans="1:14" ht="15" customHeight="1" x14ac:dyDescent="0.25">
      <c r="A36" s="8">
        <f>IF(B36="","",COUNTA($B$12:B36))</f>
        <v>25</v>
      </c>
      <c r="B36" s="9">
        <v>46226</v>
      </c>
      <c r="C36" s="10" t="s">
        <v>95</v>
      </c>
      <c r="D36" s="10" t="s">
        <v>96</v>
      </c>
      <c r="E36" s="10"/>
      <c r="F36" s="11"/>
      <c r="G36" s="8" t="str">
        <f>IF(B36="","","FAT-"&amp;TEXT(COUNTA($B$12:B36),"000"))</f>
        <v>FAT-025</v>
      </c>
      <c r="H36" s="12" t="s">
        <v>30</v>
      </c>
      <c r="I36" s="13">
        <v>2000</v>
      </c>
      <c r="J36" s="10" t="s">
        <v>31</v>
      </c>
      <c r="K36" s="10"/>
      <c r="L36" s="14" t="str">
        <f t="shared" si="0"/>
        <v/>
      </c>
      <c r="M36" s="7"/>
      <c r="N36" s="7"/>
    </row>
    <row r="37" spans="1:14" ht="15" customHeight="1" x14ac:dyDescent="0.25">
      <c r="A37" s="8">
        <f>IF(B37="","",COUNTA($B$12:B37))</f>
        <v>26</v>
      </c>
      <c r="B37" s="9">
        <v>46226</v>
      </c>
      <c r="C37" s="10" t="s">
        <v>95</v>
      </c>
      <c r="D37" s="10" t="s">
        <v>97</v>
      </c>
      <c r="E37" s="10"/>
      <c r="F37" s="11"/>
      <c r="G37" s="8" t="str">
        <f>IF(B37="","","FAT-"&amp;TEXT(COUNTA($B$12:B37),"000"))</f>
        <v>FAT-026</v>
      </c>
      <c r="H37" s="12" t="s">
        <v>30</v>
      </c>
      <c r="I37" s="13">
        <v>2000</v>
      </c>
      <c r="J37" s="10" t="s">
        <v>25</v>
      </c>
      <c r="K37" s="10"/>
      <c r="L37" s="15" t="str">
        <f t="shared" si="0"/>
        <v/>
      </c>
      <c r="M37" s="7"/>
      <c r="N37" s="7"/>
    </row>
    <row r="38" spans="1:14" ht="15" customHeight="1" x14ac:dyDescent="0.25">
      <c r="A38" s="8">
        <f>IF(B38="","",COUNTA($B$12:B38))</f>
        <v>27</v>
      </c>
      <c r="B38" s="9">
        <v>46226</v>
      </c>
      <c r="C38" s="10" t="s">
        <v>63</v>
      </c>
      <c r="D38" s="10" t="s">
        <v>98</v>
      </c>
      <c r="E38" s="10"/>
      <c r="F38" s="11"/>
      <c r="G38" s="8" t="str">
        <f>IF(B38="","","FAT-"&amp;TEXT(COUNTA($B$12:B38),"000"))</f>
        <v>FAT-027</v>
      </c>
      <c r="H38" s="12" t="s">
        <v>30</v>
      </c>
      <c r="I38" s="13">
        <v>16200</v>
      </c>
      <c r="J38" s="10" t="s">
        <v>25</v>
      </c>
      <c r="K38" s="10"/>
      <c r="L38" s="14" t="str">
        <f t="shared" si="0"/>
        <v/>
      </c>
      <c r="M38" s="7"/>
      <c r="N38" s="7"/>
    </row>
    <row r="39" spans="1:14" ht="15" customHeight="1" x14ac:dyDescent="0.25">
      <c r="A39" s="8">
        <f>IF(B39="","",COUNTA($B$12:B39))</f>
        <v>28</v>
      </c>
      <c r="B39" s="9">
        <v>46226</v>
      </c>
      <c r="C39" s="10" t="s">
        <v>99</v>
      </c>
      <c r="D39" s="10" t="s">
        <v>100</v>
      </c>
      <c r="E39" s="10"/>
      <c r="F39" s="11"/>
      <c r="G39" s="8" t="str">
        <f>IF(B39="","","FAT-"&amp;TEXT(COUNTA($B$12:B39),"000"))</f>
        <v>FAT-028</v>
      </c>
      <c r="H39" s="12" t="s">
        <v>30</v>
      </c>
      <c r="I39" s="13">
        <v>50000</v>
      </c>
      <c r="J39" s="10" t="s">
        <v>55</v>
      </c>
      <c r="K39" s="10"/>
      <c r="L39" s="15" t="str">
        <f t="shared" si="0"/>
        <v/>
      </c>
      <c r="M39" s="7"/>
      <c r="N39" s="7"/>
    </row>
    <row r="40" spans="1:14" ht="15" customHeight="1" x14ac:dyDescent="0.25">
      <c r="A40" s="8">
        <f>IF(B40="","",COUNTA($B$12:B40))</f>
        <v>29</v>
      </c>
      <c r="B40" s="9">
        <v>46226</v>
      </c>
      <c r="C40" s="10" t="s">
        <v>101</v>
      </c>
      <c r="D40" s="10" t="s">
        <v>102</v>
      </c>
      <c r="E40" s="10"/>
      <c r="F40" s="11"/>
      <c r="G40" s="8" t="str">
        <f>IF(B40="","","FAT-"&amp;TEXT(COUNTA($B$12:B40),"000"))</f>
        <v>FAT-029</v>
      </c>
      <c r="H40" s="12" t="s">
        <v>30</v>
      </c>
      <c r="I40" s="13">
        <v>45000</v>
      </c>
      <c r="J40" s="10" t="s">
        <v>55</v>
      </c>
      <c r="K40" s="10"/>
      <c r="L40" s="14" t="str">
        <f t="shared" si="0"/>
        <v/>
      </c>
      <c r="M40" s="7"/>
      <c r="N40" s="7"/>
    </row>
    <row r="41" spans="1:14" ht="15" customHeight="1" x14ac:dyDescent="0.25">
      <c r="A41" s="8">
        <f>IF(B41="","",COUNTA($B$12:B41))</f>
        <v>30</v>
      </c>
      <c r="B41" s="9">
        <v>46227</v>
      </c>
      <c r="C41" s="10" t="s">
        <v>99</v>
      </c>
      <c r="D41" s="10" t="s">
        <v>103</v>
      </c>
      <c r="E41" s="10" t="s">
        <v>104</v>
      </c>
      <c r="F41" s="11"/>
      <c r="G41" s="8" t="str">
        <f>IF(B41="","","FAT-"&amp;TEXT(COUNTA($B$12:B41),"000"))</f>
        <v>FAT-030</v>
      </c>
      <c r="H41" s="12" t="s">
        <v>30</v>
      </c>
      <c r="I41" s="13">
        <v>360000</v>
      </c>
      <c r="J41" s="10" t="s">
        <v>55</v>
      </c>
      <c r="K41" s="10"/>
      <c r="L41" s="15" t="str">
        <f t="shared" si="0"/>
        <v/>
      </c>
      <c r="M41" s="7"/>
      <c r="N41" s="7"/>
    </row>
    <row r="42" spans="1:14" ht="15" customHeight="1" x14ac:dyDescent="0.25">
      <c r="A42" s="8">
        <f>IF(B42="","",COUNTA($B$12:B42))</f>
        <v>31</v>
      </c>
      <c r="B42" s="9">
        <v>46227</v>
      </c>
      <c r="C42" s="10" t="s">
        <v>95</v>
      </c>
      <c r="D42" s="10" t="s">
        <v>105</v>
      </c>
      <c r="E42" s="10" t="s">
        <v>106</v>
      </c>
      <c r="F42" s="11"/>
      <c r="G42" s="8" t="str">
        <f>IF(B42="","","FAT-"&amp;TEXT(COUNTA($B$12:B42),"000"))</f>
        <v>FAT-031</v>
      </c>
      <c r="H42" s="12" t="s">
        <v>30</v>
      </c>
      <c r="I42" s="13">
        <v>5000</v>
      </c>
      <c r="J42" s="10" t="s">
        <v>55</v>
      </c>
      <c r="K42" s="10"/>
      <c r="L42" s="14" t="str">
        <f t="shared" si="0"/>
        <v/>
      </c>
      <c r="M42" s="7"/>
      <c r="N42" s="7"/>
    </row>
    <row r="43" spans="1:14" ht="15" customHeight="1" x14ac:dyDescent="0.25">
      <c r="A43" s="8">
        <f>IF(B43="","",COUNTA($B$12:B43))</f>
        <v>32</v>
      </c>
      <c r="B43" s="9">
        <v>46227</v>
      </c>
      <c r="C43" s="10" t="s">
        <v>47</v>
      </c>
      <c r="D43" s="10" t="s">
        <v>107</v>
      </c>
      <c r="E43" s="10" t="s">
        <v>108</v>
      </c>
      <c r="F43" s="11"/>
      <c r="G43" s="8" t="str">
        <f>IF(B43="","","FAT-"&amp;TEXT(COUNTA($B$12:B43),"000"))</f>
        <v>FAT-032</v>
      </c>
      <c r="H43" s="12" t="s">
        <v>30</v>
      </c>
      <c r="I43" s="13">
        <v>90000</v>
      </c>
      <c r="J43" s="10" t="s">
        <v>55</v>
      </c>
      <c r="K43" s="10"/>
      <c r="L43" s="15" t="str">
        <f t="shared" si="0"/>
        <v/>
      </c>
      <c r="M43" s="7"/>
      <c r="N43" s="7"/>
    </row>
    <row r="44" spans="1:14" ht="15" customHeight="1" x14ac:dyDescent="0.25">
      <c r="A44" s="8">
        <f>IF(B44="","",COUNTA($B$12:B44))</f>
        <v>33</v>
      </c>
      <c r="B44" s="9">
        <v>46228</v>
      </c>
      <c r="C44" s="10" t="s">
        <v>51</v>
      </c>
      <c r="D44" s="10" t="s">
        <v>88</v>
      </c>
      <c r="E44" s="10"/>
      <c r="F44" s="11"/>
      <c r="G44" s="8" t="str">
        <f>IF(B44="","","FAT-"&amp;TEXT(COUNTA($B$12:B44),"000"))</f>
        <v>FAT-033</v>
      </c>
      <c r="H44" s="12" t="s">
        <v>30</v>
      </c>
      <c r="I44" s="13">
        <v>50000</v>
      </c>
      <c r="J44" s="10"/>
      <c r="K44" s="10"/>
      <c r="L44" s="14" t="str">
        <f t="shared" ref="L44:L75" si="1">IF(B44="","",IF(AND(F44&lt;&gt;"",COUNTIF($F$12:$F$200,F44)&gt;1),"⚠ FATURA DUPLICADA",IF(AND(E44&lt;&gt;"",F44&lt;&gt;"",COUNTIFS($E$12:$E$200,E44,$F$12:$F$200,F44)&gt;1),"⚠ DUPLICADO","")))</f>
        <v/>
      </c>
      <c r="M44" s="7"/>
      <c r="N44" s="7"/>
    </row>
    <row r="45" spans="1:14" ht="15" customHeight="1" x14ac:dyDescent="0.25">
      <c r="A45" s="8">
        <f>IF(B45="","",COUNTA($B$12:B45))</f>
        <v>34</v>
      </c>
      <c r="B45" s="9">
        <v>46228</v>
      </c>
      <c r="C45" s="10" t="s">
        <v>26</v>
      </c>
      <c r="D45" s="10" t="s">
        <v>109</v>
      </c>
      <c r="E45" s="10" t="s">
        <v>110</v>
      </c>
      <c r="F45" s="11" t="s">
        <v>111</v>
      </c>
      <c r="G45" s="8" t="str">
        <f>IF(B45="","","FAT-"&amp;TEXT(COUNTA($B$12:B45),"000"))</f>
        <v>FAT-034</v>
      </c>
      <c r="H45" s="12" t="s">
        <v>30</v>
      </c>
      <c r="I45" s="13">
        <v>86000</v>
      </c>
      <c r="J45" s="10" t="s">
        <v>55</v>
      </c>
      <c r="K45" s="10"/>
      <c r="L45" s="15" t="str">
        <f t="shared" si="1"/>
        <v/>
      </c>
      <c r="M45" s="7"/>
      <c r="N45" s="7"/>
    </row>
    <row r="46" spans="1:14" ht="15" customHeight="1" x14ac:dyDescent="0.25">
      <c r="A46" s="8">
        <f>IF(B46="","",COUNTA($B$12:B46))</f>
        <v>35</v>
      </c>
      <c r="B46" s="9">
        <v>46228</v>
      </c>
      <c r="C46" s="10" t="s">
        <v>26</v>
      </c>
      <c r="D46" s="10" t="s">
        <v>112</v>
      </c>
      <c r="E46" s="10" t="s">
        <v>113</v>
      </c>
      <c r="F46" s="11" t="s">
        <v>114</v>
      </c>
      <c r="G46" s="8" t="str">
        <f>IF(B46="","","FAT-"&amp;TEXT(COUNTA($B$12:B46),"000"))</f>
        <v>FAT-035</v>
      </c>
      <c r="H46" s="12" t="s">
        <v>30</v>
      </c>
      <c r="I46" s="13">
        <v>14000</v>
      </c>
      <c r="J46" s="10" t="s">
        <v>55</v>
      </c>
      <c r="K46" s="10"/>
      <c r="L46" s="14" t="str">
        <f t="shared" si="1"/>
        <v/>
      </c>
      <c r="M46" s="7"/>
      <c r="N46" s="7"/>
    </row>
    <row r="47" spans="1:14" ht="15" customHeight="1" x14ac:dyDescent="0.25">
      <c r="A47" s="8">
        <f>IF(B47="","",COUNTA($B$12:B47))</f>
        <v>36</v>
      </c>
      <c r="B47" s="9">
        <v>46229</v>
      </c>
      <c r="C47" s="10" t="s">
        <v>72</v>
      </c>
      <c r="D47" s="10" t="s">
        <v>115</v>
      </c>
      <c r="E47" s="10" t="s">
        <v>116</v>
      </c>
      <c r="F47" s="11" t="s">
        <v>117</v>
      </c>
      <c r="G47" s="8" t="str">
        <f>IF(B47="","","FAT-"&amp;TEXT(COUNTA($B$12:B47),"000"))</f>
        <v>FAT-036</v>
      </c>
      <c r="H47" s="12" t="s">
        <v>30</v>
      </c>
      <c r="I47" s="13">
        <v>197500</v>
      </c>
      <c r="J47" s="10" t="s">
        <v>31</v>
      </c>
      <c r="K47" s="10"/>
      <c r="L47" s="15" t="str">
        <f t="shared" si="1"/>
        <v/>
      </c>
      <c r="M47" s="7"/>
      <c r="N47" s="7"/>
    </row>
    <row r="48" spans="1:14" ht="15" customHeight="1" x14ac:dyDescent="0.25">
      <c r="A48" s="8">
        <f>IF(B48="","",COUNTA($B$12:B48))</f>
        <v>37</v>
      </c>
      <c r="B48" s="9">
        <v>46231</v>
      </c>
      <c r="C48" s="10" t="s">
        <v>63</v>
      </c>
      <c r="D48" s="10" t="s">
        <v>118</v>
      </c>
      <c r="E48" s="10" t="s">
        <v>119</v>
      </c>
      <c r="F48" s="11" t="s">
        <v>120</v>
      </c>
      <c r="G48" s="8" t="str">
        <f>IF(B48="","","FAT-"&amp;TEXT(COUNTA($B$12:B48),"000"))</f>
        <v>FAT-037</v>
      </c>
      <c r="H48" s="12" t="s">
        <v>30</v>
      </c>
      <c r="I48" s="13">
        <v>154000</v>
      </c>
      <c r="J48" s="10" t="s">
        <v>25</v>
      </c>
      <c r="K48" s="10"/>
      <c r="L48" s="14" t="str">
        <f t="shared" si="1"/>
        <v/>
      </c>
      <c r="M48" s="7"/>
      <c r="N48" s="7"/>
    </row>
    <row r="49" spans="1:14" ht="15" customHeight="1" x14ac:dyDescent="0.25">
      <c r="A49" s="8">
        <f>IF(B49="","",COUNTA($B$12:B49))</f>
        <v>38</v>
      </c>
      <c r="B49" s="9">
        <v>46231</v>
      </c>
      <c r="C49" s="10" t="s">
        <v>26</v>
      </c>
      <c r="D49" s="10" t="s">
        <v>121</v>
      </c>
      <c r="E49" s="10" t="s">
        <v>122</v>
      </c>
      <c r="F49" s="11" t="s">
        <v>123</v>
      </c>
      <c r="G49" s="8" t="str">
        <f>IF(B49="","","FAT-"&amp;TEXT(COUNTA($B$12:B49),"000"))</f>
        <v>FAT-038</v>
      </c>
      <c r="H49" s="12" t="s">
        <v>30</v>
      </c>
      <c r="I49" s="13">
        <v>27000</v>
      </c>
      <c r="J49" s="10" t="s">
        <v>55</v>
      </c>
      <c r="K49" s="10"/>
      <c r="L49" s="15" t="str">
        <f t="shared" si="1"/>
        <v/>
      </c>
      <c r="M49" s="7"/>
      <c r="N49" s="7"/>
    </row>
    <row r="50" spans="1:14" ht="15" customHeight="1" x14ac:dyDescent="0.25">
      <c r="A50" s="8">
        <f>IF(B50="","",COUNTA($B$12:B50))</f>
        <v>39</v>
      </c>
      <c r="B50" s="9">
        <v>46233</v>
      </c>
      <c r="C50" s="10" t="s">
        <v>99</v>
      </c>
      <c r="D50" s="10" t="s">
        <v>124</v>
      </c>
      <c r="E50" s="10" t="s">
        <v>125</v>
      </c>
      <c r="F50" s="11" t="s">
        <v>126</v>
      </c>
      <c r="G50" s="8" t="str">
        <f>IF(B50="","","FAT-"&amp;TEXT(COUNTA($B$12:B50),"000"))</f>
        <v>FAT-039</v>
      </c>
      <c r="H50" s="12" t="s">
        <v>30</v>
      </c>
      <c r="I50" s="13">
        <v>415000</v>
      </c>
      <c r="J50" s="10" t="s">
        <v>25</v>
      </c>
      <c r="K50" s="10"/>
      <c r="L50" s="14" t="str">
        <f t="shared" si="1"/>
        <v/>
      </c>
      <c r="M50" s="7"/>
      <c r="N50" s="7"/>
    </row>
    <row r="51" spans="1:14" ht="15" customHeight="1" x14ac:dyDescent="0.25">
      <c r="A51" s="8">
        <f>IF(B51="","",COUNTA($B$12:B51))</f>
        <v>40</v>
      </c>
      <c r="B51" s="9">
        <v>46234</v>
      </c>
      <c r="C51" s="10" t="s">
        <v>26</v>
      </c>
      <c r="D51" s="10" t="s">
        <v>127</v>
      </c>
      <c r="E51" s="10" t="s">
        <v>128</v>
      </c>
      <c r="F51" s="11"/>
      <c r="G51" s="8" t="str">
        <f>IF(B51="","","FAT-"&amp;TEXT(COUNTA($B$12:B51),"000"))</f>
        <v>FAT-040</v>
      </c>
      <c r="H51" s="12" t="s">
        <v>30</v>
      </c>
      <c r="I51" s="13">
        <v>5730</v>
      </c>
      <c r="J51" s="10" t="s">
        <v>55</v>
      </c>
      <c r="K51" s="10"/>
      <c r="L51" s="15" t="str">
        <f t="shared" si="1"/>
        <v/>
      </c>
      <c r="M51" s="7"/>
      <c r="N51" s="7"/>
    </row>
    <row r="52" spans="1:14" ht="15" customHeight="1" x14ac:dyDescent="0.25">
      <c r="A52" s="8">
        <f>IF(B52="","",COUNTA($B$12:B52))</f>
        <v>41</v>
      </c>
      <c r="B52" s="9">
        <v>46234</v>
      </c>
      <c r="C52" s="10" t="s">
        <v>43</v>
      </c>
      <c r="D52" s="10" t="s">
        <v>44</v>
      </c>
      <c r="E52" s="10" t="s">
        <v>129</v>
      </c>
      <c r="F52" s="11" t="s">
        <v>130</v>
      </c>
      <c r="G52" s="8" t="str">
        <f>IF(B52="","","FAT-"&amp;TEXT(COUNTA($B$12:B52),"000"))</f>
        <v>FAT-041</v>
      </c>
      <c r="H52" s="12" t="s">
        <v>30</v>
      </c>
      <c r="I52" s="13">
        <v>363313</v>
      </c>
      <c r="J52" s="10" t="s">
        <v>31</v>
      </c>
      <c r="K52" s="10"/>
      <c r="L52" s="14" t="str">
        <f t="shared" si="1"/>
        <v/>
      </c>
      <c r="M52" s="7"/>
      <c r="N52" s="7"/>
    </row>
    <row r="53" spans="1:14" ht="15" customHeight="1" x14ac:dyDescent="0.25">
      <c r="A53" s="8">
        <f>IF(B53="","",COUNTA($B$12:B53))</f>
        <v>42</v>
      </c>
      <c r="B53" s="9">
        <v>46234</v>
      </c>
      <c r="C53" s="10" t="s">
        <v>26</v>
      </c>
      <c r="D53" s="10" t="s">
        <v>61</v>
      </c>
      <c r="E53" s="10" t="s">
        <v>110</v>
      </c>
      <c r="F53" s="11" t="s">
        <v>131</v>
      </c>
      <c r="G53" s="8" t="str">
        <f>IF(B53="","","FAT-"&amp;TEXT(COUNTA($B$12:B53),"000"))</f>
        <v>FAT-042</v>
      </c>
      <c r="H53" s="12" t="s">
        <v>30</v>
      </c>
      <c r="I53" s="13">
        <v>51500</v>
      </c>
      <c r="J53" s="10" t="s">
        <v>25</v>
      </c>
      <c r="K53" s="10"/>
      <c r="L53" s="15" t="str">
        <f t="shared" si="1"/>
        <v/>
      </c>
      <c r="M53" s="7"/>
      <c r="N53" s="7"/>
    </row>
    <row r="54" spans="1:14" ht="15" customHeight="1" x14ac:dyDescent="0.25">
      <c r="A54" s="8">
        <f>IF(B54="","",COUNTA($B$12:B54))</f>
        <v>43</v>
      </c>
      <c r="B54" s="9">
        <v>46234</v>
      </c>
      <c r="C54" s="10" t="s">
        <v>132</v>
      </c>
      <c r="D54" s="10" t="s">
        <v>133</v>
      </c>
      <c r="E54" s="10" t="s">
        <v>129</v>
      </c>
      <c r="F54" s="11" t="s">
        <v>134</v>
      </c>
      <c r="G54" s="8" t="str">
        <f>IF(B54="","","FAT-"&amp;TEXT(COUNTA($B$12:B54),"000"))</f>
        <v>FAT-043</v>
      </c>
      <c r="H54" s="12" t="s">
        <v>30</v>
      </c>
      <c r="I54" s="13">
        <v>2994</v>
      </c>
      <c r="J54" s="10" t="s">
        <v>31</v>
      </c>
      <c r="K54" s="10"/>
      <c r="L54" s="14" t="str">
        <f t="shared" si="1"/>
        <v/>
      </c>
      <c r="M54" s="7"/>
      <c r="N54" s="7"/>
    </row>
    <row r="55" spans="1:14" ht="15" customHeight="1" x14ac:dyDescent="0.25">
      <c r="A55" s="8">
        <f>IF(B55="","",COUNTA($B$12:B55))</f>
        <v>44</v>
      </c>
      <c r="B55" s="9">
        <v>46235</v>
      </c>
      <c r="C55" s="10" t="s">
        <v>99</v>
      </c>
      <c r="D55" s="10" t="s">
        <v>73</v>
      </c>
      <c r="E55" s="10" t="s">
        <v>74</v>
      </c>
      <c r="F55" s="11" t="s">
        <v>135</v>
      </c>
      <c r="G55" s="8" t="str">
        <f>IF(B55="","","FAT-"&amp;TEXT(COUNTA($B$12:B55),"000"))</f>
        <v>FAT-044</v>
      </c>
      <c r="H55" s="12" t="s">
        <v>30</v>
      </c>
      <c r="I55" s="13">
        <v>263000</v>
      </c>
      <c r="J55" s="10" t="s">
        <v>25</v>
      </c>
      <c r="K55" s="10"/>
      <c r="L55" s="15" t="str">
        <f t="shared" si="1"/>
        <v/>
      </c>
    </row>
    <row r="56" spans="1:14" ht="15" customHeight="1" x14ac:dyDescent="0.25">
      <c r="A56" s="8">
        <f>IF(B56="","",COUNTA($B$12:B56))</f>
        <v>45</v>
      </c>
      <c r="B56" s="9">
        <v>46235</v>
      </c>
      <c r="C56" s="10" t="s">
        <v>72</v>
      </c>
      <c r="D56" s="10" t="s">
        <v>136</v>
      </c>
      <c r="E56" s="10" t="s">
        <v>74</v>
      </c>
      <c r="F56" s="11" t="s">
        <v>137</v>
      </c>
      <c r="G56" s="8" t="str">
        <f>IF(B56="","","FAT-"&amp;TEXT(COUNTA($B$12:B56),"000"))</f>
        <v>FAT-045</v>
      </c>
      <c r="H56" s="12" t="s">
        <v>30</v>
      </c>
      <c r="I56" s="13">
        <v>30000</v>
      </c>
      <c r="J56" s="10" t="s">
        <v>25</v>
      </c>
      <c r="K56" s="10"/>
      <c r="L56" s="14" t="str">
        <f t="shared" si="1"/>
        <v/>
      </c>
    </row>
    <row r="57" spans="1:14" ht="15" customHeight="1" x14ac:dyDescent="0.25">
      <c r="A57" s="8">
        <f>IF(B57="","",COUNTA($B$12:B57))</f>
        <v>46</v>
      </c>
      <c r="B57" s="9">
        <v>46237</v>
      </c>
      <c r="C57" s="10" t="s">
        <v>99</v>
      </c>
      <c r="D57" s="10" t="s">
        <v>138</v>
      </c>
      <c r="E57" s="10" t="s">
        <v>125</v>
      </c>
      <c r="F57" s="11" t="s">
        <v>139</v>
      </c>
      <c r="G57" s="8" t="str">
        <f>IF(B57="","","FAT-"&amp;TEXT(COUNTA($B$12:B57),"000"))</f>
        <v>FAT-046</v>
      </c>
      <c r="H57" s="12" t="s">
        <v>30</v>
      </c>
      <c r="I57" s="13">
        <v>120000</v>
      </c>
      <c r="J57" s="10" t="s">
        <v>25</v>
      </c>
      <c r="K57" s="10"/>
      <c r="L57" s="15" t="str">
        <f t="shared" si="1"/>
        <v/>
      </c>
    </row>
    <row r="58" spans="1:14" ht="15" customHeight="1" x14ac:dyDescent="0.25">
      <c r="A58" s="8">
        <f>IF(B58="","",COUNTA($B$12:B58))</f>
        <v>47</v>
      </c>
      <c r="B58" s="9">
        <v>46238</v>
      </c>
      <c r="C58" s="10" t="s">
        <v>26</v>
      </c>
      <c r="D58" s="10" t="s">
        <v>140</v>
      </c>
      <c r="E58" s="10" t="s">
        <v>141</v>
      </c>
      <c r="F58" s="11"/>
      <c r="G58" s="8" t="str">
        <f>IF(B58="","","FAT-"&amp;TEXT(COUNTA($B$12:B58),"000"))</f>
        <v>FAT-047</v>
      </c>
      <c r="H58" s="12" t="s">
        <v>30</v>
      </c>
      <c r="I58" s="13">
        <v>132000</v>
      </c>
      <c r="J58" s="10" t="s">
        <v>55</v>
      </c>
      <c r="K58" s="10"/>
      <c r="L58" s="14" t="str">
        <f t="shared" si="1"/>
        <v/>
      </c>
    </row>
    <row r="59" spans="1:14" ht="15" customHeight="1" x14ac:dyDescent="0.25">
      <c r="A59" s="8">
        <f>IF(B59="","",COUNTA($B$12:B59))</f>
        <v>48</v>
      </c>
      <c r="B59" s="9">
        <v>46238</v>
      </c>
      <c r="C59" s="10" t="s">
        <v>26</v>
      </c>
      <c r="D59" s="10" t="s">
        <v>142</v>
      </c>
      <c r="E59" s="10" t="s">
        <v>141</v>
      </c>
      <c r="F59" s="11"/>
      <c r="G59" s="8" t="str">
        <f>IF(B59="","","FAT-"&amp;TEXT(COUNTA($B$12:B59),"000"))</f>
        <v>FAT-048</v>
      </c>
      <c r="H59" s="12" t="s">
        <v>30</v>
      </c>
      <c r="I59" s="13">
        <v>36000</v>
      </c>
      <c r="J59" s="10" t="s">
        <v>55</v>
      </c>
      <c r="K59" s="10"/>
      <c r="L59" s="15" t="str">
        <f t="shared" si="1"/>
        <v/>
      </c>
    </row>
    <row r="60" spans="1:14" ht="15" customHeight="1" x14ac:dyDescent="0.25">
      <c r="A60" s="8">
        <f>IF(B60="","",COUNTA($B$12:B60))</f>
        <v>49</v>
      </c>
      <c r="B60" s="9">
        <v>46238</v>
      </c>
      <c r="C60" s="10" t="s">
        <v>26</v>
      </c>
      <c r="D60" s="10" t="s">
        <v>127</v>
      </c>
      <c r="E60" s="10" t="s">
        <v>110</v>
      </c>
      <c r="F60" s="11" t="s">
        <v>143</v>
      </c>
      <c r="G60" s="8" t="str">
        <f>IF(B60="","","FAT-"&amp;TEXT(COUNTA($B$12:B60),"000"))</f>
        <v>FAT-049</v>
      </c>
      <c r="H60" s="12" t="s">
        <v>30</v>
      </c>
      <c r="I60" s="13">
        <v>43000</v>
      </c>
      <c r="J60" s="10" t="s">
        <v>55</v>
      </c>
      <c r="K60" s="10"/>
      <c r="L60" s="14" t="str">
        <f t="shared" si="1"/>
        <v/>
      </c>
    </row>
    <row r="61" spans="1:14" ht="15" customHeight="1" x14ac:dyDescent="0.25">
      <c r="A61" s="8">
        <f>IF(B61="","",COUNTA($B$12:B61))</f>
        <v>50</v>
      </c>
      <c r="B61" s="9">
        <v>46240</v>
      </c>
      <c r="C61" s="10" t="s">
        <v>67</v>
      </c>
      <c r="D61" s="10" t="s">
        <v>68</v>
      </c>
      <c r="E61" s="10" t="s">
        <v>65</v>
      </c>
      <c r="F61" s="11" t="s">
        <v>144</v>
      </c>
      <c r="G61" s="8" t="str">
        <f>IF(B61="","","FAT-"&amp;TEXT(COUNTA($B$12:B61),"000"))</f>
        <v>FAT-050</v>
      </c>
      <c r="H61" s="12" t="s">
        <v>30</v>
      </c>
      <c r="I61" s="13">
        <v>100000</v>
      </c>
      <c r="J61" s="10" t="s">
        <v>31</v>
      </c>
      <c r="K61" s="10"/>
      <c r="L61" s="15" t="str">
        <f t="shared" si="1"/>
        <v/>
      </c>
    </row>
    <row r="62" spans="1:14" ht="14.25" customHeight="1" x14ac:dyDescent="0.25">
      <c r="A62" s="8">
        <f>IF(B62="","",COUNTA($B$12:B62))</f>
        <v>51</v>
      </c>
      <c r="B62" s="9">
        <v>46240</v>
      </c>
      <c r="C62" s="16" t="s">
        <v>145</v>
      </c>
      <c r="D62" s="16" t="s">
        <v>146</v>
      </c>
      <c r="E62" s="16" t="s">
        <v>251</v>
      </c>
      <c r="F62" s="17" t="s">
        <v>147</v>
      </c>
      <c r="G62" s="8" t="str">
        <f>IF(B62="","","FAT-"&amp;TEXT(COUNTA($B$12:B62),"000"))</f>
        <v>FAT-051</v>
      </c>
      <c r="H62" s="12" t="s">
        <v>30</v>
      </c>
      <c r="I62" s="13">
        <v>90000</v>
      </c>
      <c r="J62" s="10" t="s">
        <v>79</v>
      </c>
      <c r="K62" s="16" t="s">
        <v>148</v>
      </c>
      <c r="L62" s="14" t="str">
        <f t="shared" si="1"/>
        <v/>
      </c>
    </row>
    <row r="63" spans="1:14" ht="14.25" customHeight="1" x14ac:dyDescent="0.25">
      <c r="A63" s="8">
        <f>IF(B63="","",COUNTA($B$12:B63))</f>
        <v>52</v>
      </c>
      <c r="B63" s="9">
        <v>46247</v>
      </c>
      <c r="C63" s="10" t="s">
        <v>149</v>
      </c>
      <c r="D63" s="10" t="s">
        <v>150</v>
      </c>
      <c r="E63" s="10" t="s">
        <v>250</v>
      </c>
      <c r="F63" s="11" t="s">
        <v>248</v>
      </c>
      <c r="G63" s="8" t="str">
        <f>IF(B63="","","FAT-"&amp;TEXT(COUNTA($B$12:B63),"000"))</f>
        <v>FAT-052</v>
      </c>
      <c r="H63" s="12" t="s">
        <v>30</v>
      </c>
      <c r="I63" s="13">
        <v>28000</v>
      </c>
      <c r="J63" s="10" t="s">
        <v>31</v>
      </c>
      <c r="K63" s="10" t="s">
        <v>151</v>
      </c>
      <c r="L63" s="15" t="str">
        <f t="shared" si="1"/>
        <v/>
      </c>
    </row>
    <row r="64" spans="1:14" ht="14.25" customHeight="1" x14ac:dyDescent="0.25">
      <c r="A64" s="8" t="str">
        <f>IF(B64="","",COUNTA($B$12:B64))</f>
        <v/>
      </c>
      <c r="B64" s="9"/>
      <c r="C64" s="10"/>
      <c r="D64" s="10"/>
      <c r="E64" s="10"/>
      <c r="F64" s="11"/>
      <c r="G64" s="8" t="str">
        <f>IF(B64="","","FAT-"&amp;TEXT(COUNTA($B$12:B64),"000"))</f>
        <v/>
      </c>
      <c r="H64" s="12"/>
      <c r="I64" s="13"/>
      <c r="J64" s="10"/>
      <c r="K64" s="10"/>
      <c r="L64" s="14" t="str">
        <f t="shared" si="1"/>
        <v/>
      </c>
    </row>
    <row r="65" spans="1:12" ht="14.25" customHeight="1" x14ac:dyDescent="0.25">
      <c r="A65" s="8" t="str">
        <f>IF(B65="","",COUNTA($B$12:B65))</f>
        <v/>
      </c>
      <c r="B65" s="9"/>
      <c r="C65" s="10"/>
      <c r="D65" s="10"/>
      <c r="E65" s="10"/>
      <c r="F65" s="11"/>
      <c r="G65" s="8" t="str">
        <f>IF(B65="","","FAT-"&amp;TEXT(COUNTA($B$12:B65),"000"))</f>
        <v/>
      </c>
      <c r="H65" s="12"/>
      <c r="I65" s="13"/>
      <c r="J65" s="10"/>
      <c r="K65" s="10"/>
      <c r="L65" s="15" t="str">
        <f t="shared" si="1"/>
        <v/>
      </c>
    </row>
    <row r="66" spans="1:12" ht="14.25" customHeight="1" x14ac:dyDescent="0.25">
      <c r="A66" s="1" t="str">
        <f>IF(B66="","",COUNTA($B$12:B66))</f>
        <v/>
      </c>
      <c r="G66" s="1" t="str">
        <f>IF(B66="","","FAT-"&amp;TEXT(COUNTA($B$12:B66),"000"))</f>
        <v/>
      </c>
      <c r="L66" s="1" t="str">
        <f t="shared" si="1"/>
        <v/>
      </c>
    </row>
    <row r="67" spans="1:12" ht="14.25" customHeight="1" x14ac:dyDescent="0.25">
      <c r="A67" s="1" t="str">
        <f>IF(B67="","",COUNTA($B$12:B67))</f>
        <v/>
      </c>
      <c r="G67" s="1" t="str">
        <f>IF(B67="","","FAT-"&amp;TEXT(COUNTA($B$12:B67),"000"))</f>
        <v/>
      </c>
      <c r="L67" s="1" t="str">
        <f t="shared" si="1"/>
        <v/>
      </c>
    </row>
    <row r="68" spans="1:12" ht="14.25" customHeight="1" x14ac:dyDescent="0.25">
      <c r="A68" s="1" t="str">
        <f>IF(B68="","",COUNTA($B$12:B68))</f>
        <v/>
      </c>
      <c r="G68" s="1" t="str">
        <f>IF(B68="","","FAT-"&amp;TEXT(COUNTA($B$12:B68),"000"))</f>
        <v/>
      </c>
      <c r="L68" s="1" t="str">
        <f t="shared" si="1"/>
        <v/>
      </c>
    </row>
    <row r="69" spans="1:12" ht="14.25" customHeight="1" x14ac:dyDescent="0.25">
      <c r="A69" s="1" t="str">
        <f>IF(B69="","",COUNTA($B$12:B69))</f>
        <v/>
      </c>
      <c r="G69" s="1" t="str">
        <f>IF(B69="","","FAT-"&amp;TEXT(COUNTA($B$12:B69),"000"))</f>
        <v/>
      </c>
      <c r="L69" s="1" t="str">
        <f t="shared" si="1"/>
        <v/>
      </c>
    </row>
    <row r="70" spans="1:12" ht="14.25" customHeight="1" x14ac:dyDescent="0.25">
      <c r="A70" s="1" t="str">
        <f>IF(B70="","",COUNTA($B$12:B70))</f>
        <v/>
      </c>
      <c r="G70" s="1" t="str">
        <f>IF(B70="","","FAT-"&amp;TEXT(COUNTA($B$12:B70),"000"))</f>
        <v/>
      </c>
      <c r="L70" s="1" t="str">
        <f t="shared" si="1"/>
        <v/>
      </c>
    </row>
    <row r="71" spans="1:12" ht="14.25" customHeight="1" x14ac:dyDescent="0.25">
      <c r="A71" s="1" t="str">
        <f>IF(B71="","",COUNTA($B$12:B71))</f>
        <v/>
      </c>
      <c r="G71" s="1" t="str">
        <f>IF(B71="","","FAT-"&amp;TEXT(COUNTA($B$12:B71),"000"))</f>
        <v/>
      </c>
      <c r="L71" s="1" t="str">
        <f t="shared" si="1"/>
        <v/>
      </c>
    </row>
    <row r="72" spans="1:12" ht="14.25" customHeight="1" x14ac:dyDescent="0.25">
      <c r="A72" s="1" t="str">
        <f>IF(B72="","",COUNTA($B$12:B72))</f>
        <v/>
      </c>
      <c r="G72" s="1" t="str">
        <f>IF(B72="","","FAT-"&amp;TEXT(COUNTA($B$12:B72),"000"))</f>
        <v/>
      </c>
      <c r="L72" s="1" t="str">
        <f t="shared" si="1"/>
        <v/>
      </c>
    </row>
    <row r="73" spans="1:12" ht="14.25" customHeight="1" x14ac:dyDescent="0.25">
      <c r="A73" s="1" t="str">
        <f>IF(B73="","",COUNTA($B$12:B73))</f>
        <v/>
      </c>
      <c r="G73" s="1" t="str">
        <f>IF(B73="","","FAT-"&amp;TEXT(COUNTA($B$12:B73),"000"))</f>
        <v/>
      </c>
      <c r="L73" s="1" t="str">
        <f t="shared" si="1"/>
        <v/>
      </c>
    </row>
    <row r="74" spans="1:12" ht="14.25" customHeight="1" x14ac:dyDescent="0.25">
      <c r="A74" s="1" t="str">
        <f>IF(B74="","",COUNTA($B$12:B74))</f>
        <v/>
      </c>
      <c r="G74" s="1" t="str">
        <f>IF(B74="","","FAT-"&amp;TEXT(COUNTA($B$12:B74),"000"))</f>
        <v/>
      </c>
      <c r="L74" s="1" t="str">
        <f t="shared" si="1"/>
        <v/>
      </c>
    </row>
    <row r="75" spans="1:12" ht="14.25" customHeight="1" x14ac:dyDescent="0.25">
      <c r="A75" s="1" t="str">
        <f>IF(B75="","",COUNTA($B$12:B75))</f>
        <v/>
      </c>
      <c r="G75" s="1" t="str">
        <f>IF(B75="","","FAT-"&amp;TEXT(COUNTA($B$12:B75),"000"))</f>
        <v/>
      </c>
      <c r="L75" s="1" t="str">
        <f t="shared" si="1"/>
        <v/>
      </c>
    </row>
    <row r="76" spans="1:12" ht="14.25" customHeight="1" x14ac:dyDescent="0.25">
      <c r="A76" s="1" t="str">
        <f>IF(B76="","",COUNTA($B$12:B76))</f>
        <v/>
      </c>
      <c r="G76" s="1" t="str">
        <f>IF(B76="","","FAT-"&amp;TEXT(COUNTA($B$12:B76),"000"))</f>
        <v/>
      </c>
      <c r="L76" s="1" t="str">
        <f t="shared" ref="L76:L107" si="2">IF(B76="","",IF(AND(F76&lt;&gt;"",COUNTIF($F$12:$F$200,F76)&gt;1),"⚠ FATURA DUPLICADA",IF(AND(E76&lt;&gt;"",F76&lt;&gt;"",COUNTIFS($E$12:$E$200,E76,$F$12:$F$200,F76)&gt;1),"⚠ DUPLICADO","")))</f>
        <v/>
      </c>
    </row>
    <row r="77" spans="1:12" ht="14.25" customHeight="1" x14ac:dyDescent="0.25">
      <c r="A77" s="1" t="str">
        <f>IF(B77="","",COUNTA($B$12:B77))</f>
        <v/>
      </c>
      <c r="G77" s="1" t="str">
        <f>IF(B77="","","FAT-"&amp;TEXT(COUNTA($B$12:B77),"000"))</f>
        <v/>
      </c>
      <c r="L77" s="1" t="str">
        <f t="shared" si="2"/>
        <v/>
      </c>
    </row>
    <row r="78" spans="1:12" ht="14.25" customHeight="1" x14ac:dyDescent="0.25">
      <c r="A78" s="1" t="str">
        <f>IF(B78="","",COUNTA($B$12:B78))</f>
        <v/>
      </c>
      <c r="G78" s="1" t="str">
        <f>IF(B78="","","FAT-"&amp;TEXT(COUNTA($B$12:B78),"000"))</f>
        <v/>
      </c>
      <c r="L78" s="1" t="str">
        <f t="shared" si="2"/>
        <v/>
      </c>
    </row>
    <row r="79" spans="1:12" ht="14.25" customHeight="1" x14ac:dyDescent="0.25">
      <c r="A79" s="1" t="str">
        <f>IF(B79="","",COUNTA($B$12:B79))</f>
        <v/>
      </c>
      <c r="G79" s="1" t="str">
        <f>IF(B79="","","FAT-"&amp;TEXT(COUNTA($B$12:B79),"000"))</f>
        <v/>
      </c>
      <c r="L79" s="1" t="str">
        <f t="shared" si="2"/>
        <v/>
      </c>
    </row>
    <row r="80" spans="1:12" ht="14.25" customHeight="1" x14ac:dyDescent="0.25">
      <c r="A80" s="1" t="str">
        <f>IF(B80="","",COUNTA($B$12:B80))</f>
        <v/>
      </c>
      <c r="G80" s="1" t="str">
        <f>IF(B80="","","FAT-"&amp;TEXT(COUNTA($B$12:B80),"000"))</f>
        <v/>
      </c>
      <c r="L80" s="1" t="str">
        <f t="shared" si="2"/>
        <v/>
      </c>
    </row>
    <row r="81" spans="1:12" ht="14.25" customHeight="1" x14ac:dyDescent="0.25">
      <c r="A81" s="1" t="str">
        <f>IF(B81="","",COUNTA($B$12:B81))</f>
        <v/>
      </c>
      <c r="G81" s="1" t="str">
        <f>IF(B81="","","FAT-"&amp;TEXT(COUNTA($B$12:B81),"000"))</f>
        <v/>
      </c>
      <c r="L81" s="1" t="str">
        <f t="shared" si="2"/>
        <v/>
      </c>
    </row>
    <row r="82" spans="1:12" ht="14.25" customHeight="1" x14ac:dyDescent="0.25">
      <c r="A82" s="1" t="str">
        <f>IF(B82="","",COUNTA($B$12:B82))</f>
        <v/>
      </c>
      <c r="G82" s="1" t="str">
        <f>IF(B82="","","FAT-"&amp;TEXT(COUNTA($B$12:B82),"000"))</f>
        <v/>
      </c>
      <c r="L82" s="1" t="str">
        <f t="shared" si="2"/>
        <v/>
      </c>
    </row>
    <row r="83" spans="1:12" ht="14.25" customHeight="1" x14ac:dyDescent="0.25">
      <c r="A83" s="1" t="str">
        <f>IF(B83="","",COUNTA($B$12:B83))</f>
        <v/>
      </c>
      <c r="G83" s="1" t="str">
        <f>IF(B83="","","FAT-"&amp;TEXT(COUNTA($B$12:B83),"000"))</f>
        <v/>
      </c>
      <c r="L83" s="1" t="str">
        <f t="shared" si="2"/>
        <v/>
      </c>
    </row>
    <row r="84" spans="1:12" ht="14.25" customHeight="1" x14ac:dyDescent="0.25">
      <c r="A84" s="1" t="str">
        <f>IF(B84="","",COUNTA($B$12:B84))</f>
        <v/>
      </c>
      <c r="G84" s="1" t="str">
        <f>IF(B84="","","FAT-"&amp;TEXT(COUNTA($B$12:B84),"000"))</f>
        <v/>
      </c>
      <c r="L84" s="1" t="str">
        <f t="shared" si="2"/>
        <v/>
      </c>
    </row>
    <row r="85" spans="1:12" ht="14.25" customHeight="1" x14ac:dyDescent="0.25">
      <c r="A85" s="1" t="str">
        <f>IF(B85="","",COUNTA($B$12:B85))</f>
        <v/>
      </c>
      <c r="G85" s="1" t="str">
        <f>IF(B85="","","FAT-"&amp;TEXT(COUNTA($B$12:B85),"000"))</f>
        <v/>
      </c>
      <c r="L85" s="1" t="str">
        <f t="shared" si="2"/>
        <v/>
      </c>
    </row>
    <row r="86" spans="1:12" ht="14.25" customHeight="1" x14ac:dyDescent="0.25">
      <c r="A86" s="1" t="str">
        <f>IF(B86="","",COUNTA($B$12:B86))</f>
        <v/>
      </c>
      <c r="G86" s="1" t="str">
        <f>IF(B86="","","FAT-"&amp;TEXT(COUNTA($B$12:B86),"000"))</f>
        <v/>
      </c>
      <c r="L86" s="1" t="str">
        <f t="shared" si="2"/>
        <v/>
      </c>
    </row>
    <row r="87" spans="1:12" ht="14.25" customHeight="1" x14ac:dyDescent="0.25">
      <c r="A87" s="1" t="str">
        <f>IF(B87="","",COUNTA($B$12:B87))</f>
        <v/>
      </c>
      <c r="G87" s="1" t="str">
        <f>IF(B87="","","FAT-"&amp;TEXT(COUNTA($B$12:B87),"000"))</f>
        <v/>
      </c>
      <c r="L87" s="1" t="str">
        <f t="shared" si="2"/>
        <v/>
      </c>
    </row>
    <row r="88" spans="1:12" ht="14.25" customHeight="1" x14ac:dyDescent="0.25">
      <c r="A88" s="1" t="str">
        <f>IF(B88="","",COUNTA($B$12:B88))</f>
        <v/>
      </c>
      <c r="G88" s="1" t="str">
        <f>IF(B88="","","FAT-"&amp;TEXT(COUNTA($B$12:B88),"000"))</f>
        <v/>
      </c>
      <c r="L88" s="1" t="str">
        <f t="shared" si="2"/>
        <v/>
      </c>
    </row>
    <row r="89" spans="1:12" ht="14.25" customHeight="1" x14ac:dyDescent="0.25">
      <c r="A89" s="1" t="str">
        <f>IF(B89="","",COUNTA($B$12:B89))</f>
        <v/>
      </c>
      <c r="G89" s="1" t="str">
        <f>IF(B89="","","FAT-"&amp;TEXT(COUNTA($B$12:B89),"000"))</f>
        <v/>
      </c>
      <c r="L89" s="1" t="str">
        <f t="shared" si="2"/>
        <v/>
      </c>
    </row>
    <row r="90" spans="1:12" ht="14.25" customHeight="1" x14ac:dyDescent="0.25">
      <c r="A90" s="1" t="str">
        <f>IF(B90="","",COUNTA($B$12:B90))</f>
        <v/>
      </c>
      <c r="G90" s="1" t="str">
        <f>IF(B90="","","FAT-"&amp;TEXT(COUNTA($B$12:B90),"000"))</f>
        <v/>
      </c>
      <c r="L90" s="1" t="str">
        <f t="shared" si="2"/>
        <v/>
      </c>
    </row>
    <row r="91" spans="1:12" ht="14.25" customHeight="1" x14ac:dyDescent="0.25">
      <c r="A91" s="1" t="str">
        <f>IF(B91="","",COUNTA($B$12:B91))</f>
        <v/>
      </c>
      <c r="G91" s="1" t="str">
        <f>IF(B91="","","FAT-"&amp;TEXT(COUNTA($B$12:B91),"000"))</f>
        <v/>
      </c>
      <c r="L91" s="1" t="str">
        <f t="shared" si="2"/>
        <v/>
      </c>
    </row>
    <row r="92" spans="1:12" ht="14.25" customHeight="1" x14ac:dyDescent="0.25">
      <c r="A92" s="1" t="str">
        <f>IF(B92="","",COUNTA($B$12:B92))</f>
        <v/>
      </c>
      <c r="G92" s="1" t="str">
        <f>IF(B92="","","FAT-"&amp;TEXT(COUNTA($B$12:B92),"000"))</f>
        <v/>
      </c>
      <c r="L92" s="1" t="str">
        <f t="shared" si="2"/>
        <v/>
      </c>
    </row>
    <row r="93" spans="1:12" ht="14.25" customHeight="1" x14ac:dyDescent="0.25">
      <c r="A93" s="1" t="str">
        <f>IF(B93="","",COUNTA($B$12:B93))</f>
        <v/>
      </c>
      <c r="G93" s="1" t="str">
        <f>IF(B93="","","FAT-"&amp;TEXT(COUNTA($B$12:B93),"000"))</f>
        <v/>
      </c>
      <c r="L93" s="1" t="str">
        <f t="shared" si="2"/>
        <v/>
      </c>
    </row>
    <row r="94" spans="1:12" ht="14.25" customHeight="1" x14ac:dyDescent="0.25">
      <c r="A94" s="1" t="str">
        <f>IF(B94="","",COUNTA($B$12:B94))</f>
        <v/>
      </c>
      <c r="G94" s="1" t="str">
        <f>IF(B94="","","FAT-"&amp;TEXT(COUNTA($B$12:B94),"000"))</f>
        <v/>
      </c>
      <c r="L94" s="1" t="str">
        <f t="shared" si="2"/>
        <v/>
      </c>
    </row>
    <row r="95" spans="1:12" ht="14.25" customHeight="1" x14ac:dyDescent="0.25">
      <c r="A95" s="1" t="str">
        <f>IF(B95="","",COUNTA($B$12:B95))</f>
        <v/>
      </c>
      <c r="G95" s="1" t="str">
        <f>IF(B95="","","FAT-"&amp;TEXT(COUNTA($B$12:B95),"000"))</f>
        <v/>
      </c>
      <c r="L95" s="1" t="str">
        <f t="shared" si="2"/>
        <v/>
      </c>
    </row>
    <row r="96" spans="1:12" ht="14.25" customHeight="1" x14ac:dyDescent="0.25">
      <c r="A96" s="1" t="str">
        <f>IF(B96="","",COUNTA($B$12:B96))</f>
        <v/>
      </c>
      <c r="G96" s="1" t="str">
        <f>IF(B96="","","FAT-"&amp;TEXT(COUNTA($B$12:B96),"000"))</f>
        <v/>
      </c>
      <c r="L96" s="1" t="str">
        <f t="shared" si="2"/>
        <v/>
      </c>
    </row>
    <row r="97" spans="1:12" ht="14.25" customHeight="1" x14ac:dyDescent="0.25">
      <c r="A97" s="1" t="str">
        <f>IF(B97="","",COUNTA($B$12:B97))</f>
        <v/>
      </c>
      <c r="G97" s="1" t="str">
        <f>IF(B97="","","FAT-"&amp;TEXT(COUNTA($B$12:B97),"000"))</f>
        <v/>
      </c>
      <c r="L97" s="1" t="str">
        <f t="shared" si="2"/>
        <v/>
      </c>
    </row>
    <row r="98" spans="1:12" ht="14.25" customHeight="1" x14ac:dyDescent="0.25">
      <c r="A98" s="1" t="str">
        <f>IF(B98="","",COUNTA($B$12:B98))</f>
        <v/>
      </c>
      <c r="G98" s="1" t="str">
        <f>IF(B98="","","FAT-"&amp;TEXT(COUNTA($B$12:B98),"000"))</f>
        <v/>
      </c>
      <c r="L98" s="1" t="str">
        <f t="shared" si="2"/>
        <v/>
      </c>
    </row>
    <row r="99" spans="1:12" ht="14.25" customHeight="1" x14ac:dyDescent="0.25">
      <c r="A99" s="1" t="str">
        <f>IF(B99="","",COUNTA($B$12:B99))</f>
        <v/>
      </c>
      <c r="G99" s="1" t="str">
        <f>IF(B99="","","FAT-"&amp;TEXT(COUNTA($B$12:B99),"000"))</f>
        <v/>
      </c>
      <c r="L99" s="1" t="str">
        <f t="shared" si="2"/>
        <v/>
      </c>
    </row>
    <row r="100" spans="1:12" ht="14.25" customHeight="1" x14ac:dyDescent="0.25">
      <c r="A100" s="1" t="str">
        <f>IF(B100="","",COUNTA($B$12:B100))</f>
        <v/>
      </c>
      <c r="G100" s="1" t="str">
        <f>IF(B100="","","FAT-"&amp;TEXT(COUNTA($B$12:B100),"000"))</f>
        <v/>
      </c>
      <c r="L100" s="1" t="str">
        <f t="shared" si="2"/>
        <v/>
      </c>
    </row>
    <row r="101" spans="1:12" ht="15" customHeight="1" x14ac:dyDescent="0.25">
      <c r="A101" s="1" t="str">
        <f>IF(B101="","",COUNTA($B$12:B101))</f>
        <v/>
      </c>
      <c r="G101" s="1" t="str">
        <f>IF(B101="","","FAT-"&amp;TEXT(COUNTA($B$12:B101),"000"))</f>
        <v/>
      </c>
      <c r="L101" s="1" t="str">
        <f t="shared" si="2"/>
        <v/>
      </c>
    </row>
    <row r="102" spans="1:12" ht="15" customHeight="1" x14ac:dyDescent="0.25">
      <c r="A102" s="1" t="str">
        <f>IF(B102="","",COUNTA($B$12:B102))</f>
        <v/>
      </c>
      <c r="G102" s="1" t="str">
        <f>IF(B102="","","FAT-"&amp;TEXT(COUNTA($B$12:B102),"000"))</f>
        <v/>
      </c>
      <c r="L102" s="1" t="str">
        <f t="shared" si="2"/>
        <v/>
      </c>
    </row>
    <row r="103" spans="1:12" ht="15" customHeight="1" x14ac:dyDescent="0.25">
      <c r="A103" s="1" t="str">
        <f>IF(B103="","",COUNTA($B$12:B103))</f>
        <v/>
      </c>
      <c r="G103" s="1" t="str">
        <f>IF(B103="","","FAT-"&amp;TEXT(COUNTA($B$12:B103),"000"))</f>
        <v/>
      </c>
      <c r="L103" s="1" t="str">
        <f t="shared" si="2"/>
        <v/>
      </c>
    </row>
    <row r="104" spans="1:12" ht="15" customHeight="1" x14ac:dyDescent="0.25">
      <c r="A104" s="1" t="str">
        <f>IF(B104="","",COUNTA($B$12:B104))</f>
        <v/>
      </c>
      <c r="G104" s="1" t="str">
        <f>IF(B104="","","FAT-"&amp;TEXT(COUNTA($B$12:B104),"000"))</f>
        <v/>
      </c>
      <c r="L104" s="1" t="str">
        <f t="shared" si="2"/>
        <v/>
      </c>
    </row>
    <row r="105" spans="1:12" ht="15" customHeight="1" x14ac:dyDescent="0.25">
      <c r="A105" s="1" t="str">
        <f>IF(B105="","",COUNTA($B$12:B105))</f>
        <v/>
      </c>
      <c r="G105" s="1" t="str">
        <f>IF(B105="","","FAT-"&amp;TEXT(COUNTA($B$12:B105),"000"))</f>
        <v/>
      </c>
      <c r="L105" s="1" t="str">
        <f t="shared" si="2"/>
        <v/>
      </c>
    </row>
    <row r="106" spans="1:12" ht="15" customHeight="1" x14ac:dyDescent="0.25">
      <c r="A106" s="1" t="str">
        <f>IF(B106="","",COUNTA($B$12:B106))</f>
        <v/>
      </c>
      <c r="G106" s="1" t="str">
        <f>IF(B106="","","FAT-"&amp;TEXT(COUNTA($B$12:B106),"000"))</f>
        <v/>
      </c>
      <c r="L106" s="1" t="str">
        <f t="shared" si="2"/>
        <v/>
      </c>
    </row>
    <row r="107" spans="1:12" ht="15" customHeight="1" x14ac:dyDescent="0.25">
      <c r="A107" s="1" t="str">
        <f>IF(B107="","",COUNTA($B$12:B107))</f>
        <v/>
      </c>
      <c r="G107" s="1" t="str">
        <f>IF(B107="","","FAT-"&amp;TEXT(COUNTA($B$12:B107),"000"))</f>
        <v/>
      </c>
      <c r="L107" s="1" t="str">
        <f t="shared" si="2"/>
        <v/>
      </c>
    </row>
    <row r="108" spans="1:12" ht="15" customHeight="1" x14ac:dyDescent="0.25">
      <c r="A108" s="1" t="str">
        <f>IF(B108="","",COUNTA($B$12:B108))</f>
        <v/>
      </c>
      <c r="G108" s="1" t="str">
        <f>IF(B108="","","FAT-"&amp;TEXT(COUNTA($B$12:B108),"000"))</f>
        <v/>
      </c>
      <c r="L108" s="1" t="str">
        <f t="shared" ref="L108:L139" si="3">IF(B108="","",IF(AND(F108&lt;&gt;"",COUNTIF($F$12:$F$200,F108)&gt;1),"⚠ FATURA DUPLICADA",IF(AND(E108&lt;&gt;"",F108&lt;&gt;"",COUNTIFS($E$12:$E$200,E108,$F$12:$F$200,F108)&gt;1),"⚠ DUPLICADO","")))</f>
        <v/>
      </c>
    </row>
    <row r="109" spans="1:12" ht="15" customHeight="1" x14ac:dyDescent="0.25">
      <c r="A109" s="1" t="str">
        <f>IF(B109="","",COUNTA($B$12:B109))</f>
        <v/>
      </c>
      <c r="G109" s="1" t="str">
        <f>IF(B109="","","FAT-"&amp;TEXT(COUNTA($B$12:B109),"000"))</f>
        <v/>
      </c>
      <c r="L109" s="1" t="str">
        <f t="shared" si="3"/>
        <v/>
      </c>
    </row>
    <row r="110" spans="1:12" ht="15" customHeight="1" x14ac:dyDescent="0.25">
      <c r="A110" s="1" t="str">
        <f>IF(B110="","",COUNTA($B$12:B110))</f>
        <v/>
      </c>
      <c r="G110" s="1" t="str">
        <f>IF(B110="","","FAT-"&amp;TEXT(COUNTA($B$12:B110),"000"))</f>
        <v/>
      </c>
      <c r="L110" s="1" t="str">
        <f t="shared" si="3"/>
        <v/>
      </c>
    </row>
    <row r="111" spans="1:12" ht="15" customHeight="1" x14ac:dyDescent="0.25">
      <c r="A111" s="1" t="str">
        <f>IF(B111="","",COUNTA($B$12:B111))</f>
        <v/>
      </c>
      <c r="G111" s="1" t="str">
        <f>IF(B111="","","FAT-"&amp;TEXT(COUNTA($B$12:B111),"000"))</f>
        <v/>
      </c>
      <c r="L111" s="1" t="str">
        <f t="shared" si="3"/>
        <v/>
      </c>
    </row>
    <row r="112" spans="1:12" ht="15" customHeight="1" x14ac:dyDescent="0.25">
      <c r="A112" s="1" t="str">
        <f>IF(B112="","",COUNTA($B$12:B112))</f>
        <v/>
      </c>
      <c r="G112" s="1" t="str">
        <f>IF(B112="","","FAT-"&amp;TEXT(COUNTA($B$12:B112),"000"))</f>
        <v/>
      </c>
      <c r="L112" s="1" t="str">
        <f t="shared" si="3"/>
        <v/>
      </c>
    </row>
    <row r="113" spans="1:12" ht="15" customHeight="1" x14ac:dyDescent="0.25">
      <c r="A113" s="1" t="str">
        <f>IF(B113="","",COUNTA($B$12:B113))</f>
        <v/>
      </c>
      <c r="G113" s="1" t="str">
        <f>IF(B113="","","FAT-"&amp;TEXT(COUNTA($B$12:B113),"000"))</f>
        <v/>
      </c>
      <c r="L113" s="1" t="str">
        <f t="shared" si="3"/>
        <v/>
      </c>
    </row>
    <row r="114" spans="1:12" ht="15" customHeight="1" x14ac:dyDescent="0.25">
      <c r="A114" s="1" t="str">
        <f>IF(B114="","",COUNTA($B$12:B114))</f>
        <v/>
      </c>
      <c r="G114" s="1" t="str">
        <f>IF(B114="","","FAT-"&amp;TEXT(COUNTA($B$12:B114),"000"))</f>
        <v/>
      </c>
      <c r="L114" s="1" t="str">
        <f t="shared" si="3"/>
        <v/>
      </c>
    </row>
    <row r="115" spans="1:12" ht="15" customHeight="1" x14ac:dyDescent="0.25">
      <c r="A115" s="1" t="str">
        <f>IF(B115="","",COUNTA($B$12:B115))</f>
        <v/>
      </c>
      <c r="G115" s="1" t="str">
        <f>IF(B115="","","FAT-"&amp;TEXT(COUNTA($B$12:B115),"000"))</f>
        <v/>
      </c>
      <c r="L115" s="1" t="str">
        <f t="shared" si="3"/>
        <v/>
      </c>
    </row>
    <row r="116" spans="1:12" ht="15" customHeight="1" x14ac:dyDescent="0.25">
      <c r="A116" s="1" t="str">
        <f>IF(B116="","",COUNTA($B$12:B116))</f>
        <v/>
      </c>
      <c r="G116" s="1" t="str">
        <f>IF(B116="","","FAT-"&amp;TEXT(COUNTA($B$12:B116),"000"))</f>
        <v/>
      </c>
      <c r="L116" s="1" t="str">
        <f t="shared" si="3"/>
        <v/>
      </c>
    </row>
    <row r="117" spans="1:12" ht="15" customHeight="1" x14ac:dyDescent="0.25">
      <c r="A117" s="1" t="str">
        <f>IF(B117="","",COUNTA($B$12:B117))</f>
        <v/>
      </c>
      <c r="G117" s="1" t="str">
        <f>IF(B117="","","FAT-"&amp;TEXT(COUNTA($B$12:B117),"000"))</f>
        <v/>
      </c>
      <c r="L117" s="1" t="str">
        <f t="shared" si="3"/>
        <v/>
      </c>
    </row>
    <row r="118" spans="1:12" ht="15" customHeight="1" x14ac:dyDescent="0.25">
      <c r="A118" s="1" t="str">
        <f>IF(B118="","",COUNTA($B$12:B118))</f>
        <v/>
      </c>
      <c r="G118" s="1" t="str">
        <f>IF(B118="","","FAT-"&amp;TEXT(COUNTA($B$12:B118),"000"))</f>
        <v/>
      </c>
      <c r="L118" s="1" t="str">
        <f t="shared" si="3"/>
        <v/>
      </c>
    </row>
    <row r="119" spans="1:12" ht="15" customHeight="1" x14ac:dyDescent="0.25">
      <c r="A119" s="1" t="str">
        <f>IF(B119="","",COUNTA($B$12:B119))</f>
        <v/>
      </c>
      <c r="G119" s="1" t="str">
        <f>IF(B119="","","FAT-"&amp;TEXT(COUNTA($B$12:B119),"000"))</f>
        <v/>
      </c>
      <c r="L119" s="1" t="str">
        <f t="shared" si="3"/>
        <v/>
      </c>
    </row>
    <row r="120" spans="1:12" ht="15" customHeight="1" x14ac:dyDescent="0.25">
      <c r="A120" s="1" t="str">
        <f>IF(B120="","",COUNTA($B$12:B120))</f>
        <v/>
      </c>
      <c r="G120" s="1" t="str">
        <f>IF(B120="","","FAT-"&amp;TEXT(COUNTA($B$12:B120),"000"))</f>
        <v/>
      </c>
      <c r="L120" s="1" t="str">
        <f t="shared" si="3"/>
        <v/>
      </c>
    </row>
    <row r="121" spans="1:12" ht="15" customHeight="1" x14ac:dyDescent="0.25">
      <c r="A121" s="1" t="str">
        <f>IF(B121="","",COUNTA($B$12:B121))</f>
        <v/>
      </c>
      <c r="G121" s="1" t="str">
        <f>IF(B121="","","FAT-"&amp;TEXT(COUNTA($B$12:B121),"000"))</f>
        <v/>
      </c>
      <c r="L121" s="1" t="str">
        <f t="shared" si="3"/>
        <v/>
      </c>
    </row>
    <row r="122" spans="1:12" ht="15" customHeight="1" x14ac:dyDescent="0.25">
      <c r="A122" s="1" t="str">
        <f>IF(B122="","",COUNTA($B$12:B122))</f>
        <v/>
      </c>
      <c r="G122" s="1" t="str">
        <f>IF(B122="","","FAT-"&amp;TEXT(COUNTA($B$12:B122),"000"))</f>
        <v/>
      </c>
      <c r="L122" s="1" t="str">
        <f t="shared" si="3"/>
        <v/>
      </c>
    </row>
    <row r="123" spans="1:12" ht="15" customHeight="1" x14ac:dyDescent="0.25">
      <c r="A123" s="1" t="str">
        <f>IF(B123="","",COUNTA($B$12:B123))</f>
        <v/>
      </c>
      <c r="G123" s="1" t="str">
        <f>IF(B123="","","FAT-"&amp;TEXT(COUNTA($B$12:B123),"000"))</f>
        <v/>
      </c>
      <c r="L123" s="1" t="str">
        <f t="shared" si="3"/>
        <v/>
      </c>
    </row>
    <row r="124" spans="1:12" ht="15" customHeight="1" x14ac:dyDescent="0.25">
      <c r="A124" s="1" t="str">
        <f>IF(B124="","",COUNTA($B$12:B124))</f>
        <v/>
      </c>
      <c r="G124" s="1" t="str">
        <f>IF(B124="","","FAT-"&amp;TEXT(COUNTA($B$12:B124),"000"))</f>
        <v/>
      </c>
      <c r="L124" s="1" t="str">
        <f t="shared" si="3"/>
        <v/>
      </c>
    </row>
    <row r="125" spans="1:12" ht="15" customHeight="1" x14ac:dyDescent="0.25">
      <c r="A125" s="1" t="str">
        <f>IF(B125="","",COUNTA($B$12:B125))</f>
        <v/>
      </c>
      <c r="G125" s="1" t="str">
        <f>IF(B125="","","FAT-"&amp;TEXT(COUNTA($B$12:B125),"000"))</f>
        <v/>
      </c>
      <c r="L125" s="1" t="str">
        <f t="shared" si="3"/>
        <v/>
      </c>
    </row>
    <row r="126" spans="1:12" ht="15" customHeight="1" x14ac:dyDescent="0.25">
      <c r="A126" s="1" t="str">
        <f>IF(B126="","",COUNTA($B$12:B126))</f>
        <v/>
      </c>
      <c r="G126" s="1" t="str">
        <f>IF(B126="","","FAT-"&amp;TEXT(COUNTA($B$12:B126),"000"))</f>
        <v/>
      </c>
      <c r="L126" s="1" t="str">
        <f t="shared" si="3"/>
        <v/>
      </c>
    </row>
    <row r="127" spans="1:12" ht="15" customHeight="1" x14ac:dyDescent="0.25">
      <c r="A127" s="1" t="str">
        <f>IF(B127="","",COUNTA($B$12:B127))</f>
        <v/>
      </c>
      <c r="G127" s="1" t="str">
        <f>IF(B127="","","FAT-"&amp;TEXT(COUNTA($B$12:B127),"000"))</f>
        <v/>
      </c>
      <c r="L127" s="1" t="str">
        <f t="shared" si="3"/>
        <v/>
      </c>
    </row>
    <row r="128" spans="1:12" ht="15" customHeight="1" x14ac:dyDescent="0.25">
      <c r="A128" s="1" t="str">
        <f>IF(B128="","",COUNTA($B$12:B128))</f>
        <v/>
      </c>
      <c r="G128" s="1" t="str">
        <f>IF(B128="","","FAT-"&amp;TEXT(COUNTA($B$12:B128),"000"))</f>
        <v/>
      </c>
      <c r="L128" s="1" t="str">
        <f t="shared" si="3"/>
        <v/>
      </c>
    </row>
    <row r="129" spans="1:12" ht="15" customHeight="1" x14ac:dyDescent="0.25">
      <c r="A129" s="1" t="str">
        <f>IF(B129="","",COUNTA($B$12:B129))</f>
        <v/>
      </c>
      <c r="G129" s="1" t="str">
        <f>IF(B129="","","FAT-"&amp;TEXT(COUNTA($B$12:B129),"000"))</f>
        <v/>
      </c>
      <c r="L129" s="1" t="str">
        <f t="shared" si="3"/>
        <v/>
      </c>
    </row>
    <row r="130" spans="1:12" ht="15" customHeight="1" x14ac:dyDescent="0.25">
      <c r="A130" s="1" t="str">
        <f>IF(B130="","",COUNTA($B$12:B130))</f>
        <v/>
      </c>
      <c r="G130" s="1" t="str">
        <f>IF(B130="","","FAT-"&amp;TEXT(COUNTA($B$12:B130),"000"))</f>
        <v/>
      </c>
      <c r="L130" s="1" t="str">
        <f t="shared" si="3"/>
        <v/>
      </c>
    </row>
    <row r="131" spans="1:12" ht="15" customHeight="1" x14ac:dyDescent="0.25">
      <c r="A131" s="1" t="str">
        <f>IF(B131="","",COUNTA($B$12:B131))</f>
        <v/>
      </c>
      <c r="G131" s="1" t="str">
        <f>IF(B131="","","FAT-"&amp;TEXT(COUNTA($B$12:B131),"000"))</f>
        <v/>
      </c>
      <c r="L131" s="1" t="str">
        <f t="shared" si="3"/>
        <v/>
      </c>
    </row>
    <row r="132" spans="1:12" ht="15" customHeight="1" x14ac:dyDescent="0.25">
      <c r="A132" s="1" t="str">
        <f>IF(B132="","",COUNTA($B$12:B132))</f>
        <v/>
      </c>
      <c r="G132" s="1" t="str">
        <f>IF(B132="","","FAT-"&amp;TEXT(COUNTA($B$12:B132),"000"))</f>
        <v/>
      </c>
      <c r="L132" s="1" t="str">
        <f t="shared" si="3"/>
        <v/>
      </c>
    </row>
    <row r="133" spans="1:12" ht="15" customHeight="1" x14ac:dyDescent="0.25">
      <c r="A133" s="1" t="str">
        <f>IF(B133="","",COUNTA($B$12:B133))</f>
        <v/>
      </c>
      <c r="G133" s="1" t="str">
        <f>IF(B133="","","FAT-"&amp;TEXT(COUNTA($B$12:B133),"000"))</f>
        <v/>
      </c>
      <c r="L133" s="1" t="str">
        <f t="shared" si="3"/>
        <v/>
      </c>
    </row>
    <row r="134" spans="1:12" ht="15" customHeight="1" x14ac:dyDescent="0.25">
      <c r="A134" s="1" t="str">
        <f>IF(B134="","",COUNTA($B$12:B134))</f>
        <v/>
      </c>
      <c r="G134" s="1" t="str">
        <f>IF(B134="","","FAT-"&amp;TEXT(COUNTA($B$12:B134),"000"))</f>
        <v/>
      </c>
      <c r="L134" s="1" t="str">
        <f t="shared" si="3"/>
        <v/>
      </c>
    </row>
    <row r="135" spans="1:12" ht="15" customHeight="1" x14ac:dyDescent="0.25">
      <c r="A135" s="1" t="str">
        <f>IF(B135="","",COUNTA($B$12:B135))</f>
        <v/>
      </c>
      <c r="G135" s="1" t="str">
        <f>IF(B135="","","FAT-"&amp;TEXT(COUNTA($B$12:B135),"000"))</f>
        <v/>
      </c>
      <c r="L135" s="1" t="str">
        <f t="shared" si="3"/>
        <v/>
      </c>
    </row>
    <row r="136" spans="1:12" ht="15" customHeight="1" x14ac:dyDescent="0.25">
      <c r="A136" s="1" t="str">
        <f>IF(B136="","",COUNTA($B$12:B136))</f>
        <v/>
      </c>
      <c r="G136" s="1" t="str">
        <f>IF(B136="","","FAT-"&amp;TEXT(COUNTA($B$12:B136),"000"))</f>
        <v/>
      </c>
      <c r="L136" s="1" t="str">
        <f t="shared" si="3"/>
        <v/>
      </c>
    </row>
    <row r="137" spans="1:12" ht="15" customHeight="1" x14ac:dyDescent="0.25">
      <c r="A137" s="1" t="str">
        <f>IF(B137="","",COUNTA($B$12:B137))</f>
        <v/>
      </c>
      <c r="G137" s="1" t="str">
        <f>IF(B137="","","FAT-"&amp;TEXT(COUNTA($B$12:B137),"000"))</f>
        <v/>
      </c>
      <c r="L137" s="1" t="str">
        <f t="shared" si="3"/>
        <v/>
      </c>
    </row>
    <row r="138" spans="1:12" ht="15" customHeight="1" x14ac:dyDescent="0.25">
      <c r="A138" s="1" t="str">
        <f>IF(B138="","",COUNTA($B$12:B138))</f>
        <v/>
      </c>
      <c r="G138" s="1" t="str">
        <f>IF(B138="","","FAT-"&amp;TEXT(COUNTA($B$12:B138),"000"))</f>
        <v/>
      </c>
      <c r="L138" s="1" t="str">
        <f t="shared" si="3"/>
        <v/>
      </c>
    </row>
    <row r="139" spans="1:12" ht="15" customHeight="1" x14ac:dyDescent="0.25">
      <c r="A139" s="1" t="str">
        <f>IF(B139="","",COUNTA($B$12:B139))</f>
        <v/>
      </c>
      <c r="G139" s="1" t="str">
        <f>IF(B139="","","FAT-"&amp;TEXT(COUNTA($B$12:B139),"000"))</f>
        <v/>
      </c>
      <c r="L139" s="1" t="str">
        <f t="shared" si="3"/>
        <v/>
      </c>
    </row>
    <row r="140" spans="1:12" ht="15" customHeight="1" x14ac:dyDescent="0.25">
      <c r="A140" s="1" t="str">
        <f>IF(B140="","",COUNTA($B$12:B140))</f>
        <v/>
      </c>
      <c r="G140" s="1" t="str">
        <f>IF(B140="","","FAT-"&amp;TEXT(COUNTA($B$12:B140),"000"))</f>
        <v/>
      </c>
      <c r="L140" s="1" t="str">
        <f t="shared" ref="L140:L171" si="4">IF(B140="","",IF(AND(F140&lt;&gt;"",COUNTIF($F$12:$F$200,F140)&gt;1),"⚠ FATURA DUPLICADA",IF(AND(E140&lt;&gt;"",F140&lt;&gt;"",COUNTIFS($E$12:$E$200,E140,$F$12:$F$200,F140)&gt;1),"⚠ DUPLICADO","")))</f>
        <v/>
      </c>
    </row>
    <row r="141" spans="1:12" ht="15" customHeight="1" x14ac:dyDescent="0.25">
      <c r="A141" s="1" t="str">
        <f>IF(B141="","",COUNTA($B$12:B141))</f>
        <v/>
      </c>
      <c r="G141" s="1" t="str">
        <f>IF(B141="","","FAT-"&amp;TEXT(COUNTA($B$12:B141),"000"))</f>
        <v/>
      </c>
      <c r="L141" s="1" t="str">
        <f t="shared" si="4"/>
        <v/>
      </c>
    </row>
    <row r="142" spans="1:12" ht="15" customHeight="1" x14ac:dyDescent="0.25">
      <c r="A142" s="1" t="str">
        <f>IF(B142="","",COUNTA($B$12:B142))</f>
        <v/>
      </c>
      <c r="G142" s="1" t="str">
        <f>IF(B142="","","FAT-"&amp;TEXT(COUNTA($B$12:B142),"000"))</f>
        <v/>
      </c>
      <c r="L142" s="1" t="str">
        <f t="shared" si="4"/>
        <v/>
      </c>
    </row>
    <row r="143" spans="1:12" ht="15" customHeight="1" x14ac:dyDescent="0.25">
      <c r="A143" s="1" t="str">
        <f>IF(B143="","",COUNTA($B$12:B143))</f>
        <v/>
      </c>
      <c r="G143" s="1" t="str">
        <f>IF(B143="","","FAT-"&amp;TEXT(COUNTA($B$12:B143),"000"))</f>
        <v/>
      </c>
      <c r="L143" s="1" t="str">
        <f t="shared" si="4"/>
        <v/>
      </c>
    </row>
    <row r="144" spans="1:12" ht="15" customHeight="1" x14ac:dyDescent="0.25">
      <c r="A144" s="1" t="str">
        <f>IF(B144="","",COUNTA($B$12:B144))</f>
        <v/>
      </c>
      <c r="G144" s="1" t="str">
        <f>IF(B144="","","FAT-"&amp;TEXT(COUNTA($B$12:B144),"000"))</f>
        <v/>
      </c>
      <c r="L144" s="1" t="str">
        <f t="shared" si="4"/>
        <v/>
      </c>
    </row>
    <row r="145" spans="1:12" ht="15" customHeight="1" x14ac:dyDescent="0.25">
      <c r="A145" s="1" t="str">
        <f>IF(B145="","",COUNTA($B$12:B145))</f>
        <v/>
      </c>
      <c r="G145" s="1" t="str">
        <f>IF(B145="","","FAT-"&amp;TEXT(COUNTA($B$12:B145),"000"))</f>
        <v/>
      </c>
      <c r="L145" s="1" t="str">
        <f t="shared" si="4"/>
        <v/>
      </c>
    </row>
    <row r="146" spans="1:12" ht="15" customHeight="1" x14ac:dyDescent="0.25">
      <c r="A146" s="1" t="str">
        <f>IF(B146="","",COUNTA($B$12:B146))</f>
        <v/>
      </c>
      <c r="G146" s="1" t="str">
        <f>IF(B146="","","FAT-"&amp;TEXT(COUNTA($B$12:B146),"000"))</f>
        <v/>
      </c>
      <c r="L146" s="1" t="str">
        <f t="shared" si="4"/>
        <v/>
      </c>
    </row>
    <row r="147" spans="1:12" ht="15" customHeight="1" x14ac:dyDescent="0.25">
      <c r="A147" s="1" t="str">
        <f>IF(B147="","",COUNTA($B$12:B147))</f>
        <v/>
      </c>
      <c r="G147" s="1" t="str">
        <f>IF(B147="","","FAT-"&amp;TEXT(COUNTA($B$12:B147),"000"))</f>
        <v/>
      </c>
      <c r="L147" s="1" t="str">
        <f t="shared" si="4"/>
        <v/>
      </c>
    </row>
    <row r="148" spans="1:12" ht="15" customHeight="1" x14ac:dyDescent="0.25">
      <c r="A148" s="1" t="str">
        <f>IF(B148="","",COUNTA($B$12:B148))</f>
        <v/>
      </c>
      <c r="G148" s="1" t="str">
        <f>IF(B148="","","FAT-"&amp;TEXT(COUNTA($B$12:B148),"000"))</f>
        <v/>
      </c>
      <c r="L148" s="1" t="str">
        <f t="shared" si="4"/>
        <v/>
      </c>
    </row>
    <row r="149" spans="1:12" ht="15" customHeight="1" x14ac:dyDescent="0.25">
      <c r="A149" s="1" t="str">
        <f>IF(B149="","",COUNTA($B$12:B149))</f>
        <v/>
      </c>
      <c r="G149" s="1" t="str">
        <f>IF(B149="","","FAT-"&amp;TEXT(COUNTA($B$12:B149),"000"))</f>
        <v/>
      </c>
      <c r="L149" s="1" t="str">
        <f t="shared" si="4"/>
        <v/>
      </c>
    </row>
    <row r="150" spans="1:12" ht="15" customHeight="1" x14ac:dyDescent="0.25">
      <c r="A150" s="1" t="str">
        <f>IF(B150="","",COUNTA($B$12:B150))</f>
        <v/>
      </c>
      <c r="G150" s="1" t="str">
        <f>IF(B150="","","FAT-"&amp;TEXT(COUNTA($B$12:B150),"000"))</f>
        <v/>
      </c>
      <c r="L150" s="1" t="str">
        <f t="shared" si="4"/>
        <v/>
      </c>
    </row>
    <row r="151" spans="1:12" ht="15" customHeight="1" x14ac:dyDescent="0.25">
      <c r="A151" s="1" t="str">
        <f>IF(B151="","",COUNTA($B$12:B151))</f>
        <v/>
      </c>
      <c r="G151" s="1" t="str">
        <f>IF(B151="","","FAT-"&amp;TEXT(COUNTA($B$12:B151),"000"))</f>
        <v/>
      </c>
      <c r="L151" s="1" t="str">
        <f t="shared" si="4"/>
        <v/>
      </c>
    </row>
    <row r="152" spans="1:12" ht="15" customHeight="1" x14ac:dyDescent="0.25">
      <c r="A152" s="1" t="str">
        <f>IF(B152="","",COUNTA($B$12:B152))</f>
        <v/>
      </c>
      <c r="G152" s="1" t="str">
        <f>IF(B152="","","FAT-"&amp;TEXT(COUNTA($B$12:B152),"000"))</f>
        <v/>
      </c>
      <c r="L152" s="1" t="str">
        <f t="shared" si="4"/>
        <v/>
      </c>
    </row>
    <row r="153" spans="1:12" ht="15" customHeight="1" x14ac:dyDescent="0.25">
      <c r="A153" s="1" t="str">
        <f>IF(B153="","",COUNTA($B$12:B153))</f>
        <v/>
      </c>
      <c r="G153" s="1" t="str">
        <f>IF(B153="","","FAT-"&amp;TEXT(COUNTA($B$12:B153),"000"))</f>
        <v/>
      </c>
      <c r="L153" s="1" t="str">
        <f t="shared" si="4"/>
        <v/>
      </c>
    </row>
    <row r="154" spans="1:12" ht="15" customHeight="1" x14ac:dyDescent="0.25">
      <c r="A154" s="1" t="str">
        <f>IF(B154="","",COUNTA($B$12:B154))</f>
        <v/>
      </c>
      <c r="G154" s="1" t="str">
        <f>IF(B154="","","FAT-"&amp;TEXT(COUNTA($B$12:B154),"000"))</f>
        <v/>
      </c>
      <c r="L154" s="1" t="str">
        <f t="shared" si="4"/>
        <v/>
      </c>
    </row>
    <row r="155" spans="1:12" ht="15" customHeight="1" x14ac:dyDescent="0.25">
      <c r="A155" s="1" t="str">
        <f>IF(B155="","",COUNTA($B$12:B155))</f>
        <v/>
      </c>
      <c r="G155" s="1" t="str">
        <f>IF(B155="","","FAT-"&amp;TEXT(COUNTA($B$12:B155),"000"))</f>
        <v/>
      </c>
      <c r="L155" s="1" t="str">
        <f t="shared" si="4"/>
        <v/>
      </c>
    </row>
    <row r="156" spans="1:12" ht="15" customHeight="1" x14ac:dyDescent="0.25">
      <c r="A156" s="1" t="str">
        <f>IF(B156="","",COUNTA($B$12:B156))</f>
        <v/>
      </c>
      <c r="G156" s="1" t="str">
        <f>IF(B156="","","FAT-"&amp;TEXT(COUNTA($B$12:B156),"000"))</f>
        <v/>
      </c>
      <c r="L156" s="1" t="str">
        <f t="shared" si="4"/>
        <v/>
      </c>
    </row>
    <row r="157" spans="1:12" ht="15" customHeight="1" x14ac:dyDescent="0.25">
      <c r="A157" s="1" t="str">
        <f>IF(B157="","",COUNTA($B$12:B157))</f>
        <v/>
      </c>
      <c r="G157" s="1" t="str">
        <f>IF(B157="","","FAT-"&amp;TEXT(COUNTA($B$12:B157),"000"))</f>
        <v/>
      </c>
      <c r="L157" s="1" t="str">
        <f t="shared" si="4"/>
        <v/>
      </c>
    </row>
    <row r="158" spans="1:12" ht="15" customHeight="1" x14ac:dyDescent="0.25">
      <c r="A158" s="1" t="str">
        <f>IF(B158="","",COUNTA($B$12:B158))</f>
        <v/>
      </c>
      <c r="G158" s="1" t="str">
        <f>IF(B158="","","FAT-"&amp;TEXT(COUNTA($B$12:B158),"000"))</f>
        <v/>
      </c>
      <c r="L158" s="1" t="str">
        <f t="shared" si="4"/>
        <v/>
      </c>
    </row>
    <row r="159" spans="1:12" ht="15" customHeight="1" x14ac:dyDescent="0.25">
      <c r="A159" s="1" t="str">
        <f>IF(B159="","",COUNTA($B$12:B159))</f>
        <v/>
      </c>
      <c r="G159" s="1" t="str">
        <f>IF(B159="","","FAT-"&amp;TEXT(COUNTA($B$12:B159),"000"))</f>
        <v/>
      </c>
      <c r="L159" s="1" t="str">
        <f t="shared" si="4"/>
        <v/>
      </c>
    </row>
    <row r="160" spans="1:12" ht="15" customHeight="1" x14ac:dyDescent="0.25">
      <c r="A160" s="1" t="str">
        <f>IF(B160="","",COUNTA($B$12:B160))</f>
        <v/>
      </c>
      <c r="G160" s="1" t="str">
        <f>IF(B160="","","FAT-"&amp;TEXT(COUNTA($B$12:B160),"000"))</f>
        <v/>
      </c>
      <c r="L160" s="1" t="str">
        <f t="shared" si="4"/>
        <v/>
      </c>
    </row>
    <row r="161" spans="1:12" ht="15" customHeight="1" x14ac:dyDescent="0.25">
      <c r="A161" s="1" t="str">
        <f>IF(B161="","",COUNTA($B$12:B161))</f>
        <v/>
      </c>
      <c r="G161" s="1" t="str">
        <f>IF(B161="","","FAT-"&amp;TEXT(COUNTA($B$12:B161),"000"))</f>
        <v/>
      </c>
      <c r="L161" s="1" t="str">
        <f t="shared" si="4"/>
        <v/>
      </c>
    </row>
    <row r="162" spans="1:12" ht="15" customHeight="1" x14ac:dyDescent="0.25">
      <c r="A162" s="1" t="str">
        <f>IF(B162="","",COUNTA($B$12:B162))</f>
        <v/>
      </c>
      <c r="G162" s="1" t="str">
        <f>IF(B162="","","FAT-"&amp;TEXT(COUNTA($B$12:B162),"000"))</f>
        <v/>
      </c>
      <c r="L162" s="1" t="str">
        <f t="shared" si="4"/>
        <v/>
      </c>
    </row>
    <row r="163" spans="1:12" ht="15" customHeight="1" x14ac:dyDescent="0.25">
      <c r="A163" s="1" t="str">
        <f>IF(B163="","",COUNTA($B$12:B163))</f>
        <v/>
      </c>
      <c r="G163" s="1" t="str">
        <f>IF(B163="","","FAT-"&amp;TEXT(COUNTA($B$12:B163),"000"))</f>
        <v/>
      </c>
      <c r="L163" s="1" t="str">
        <f t="shared" si="4"/>
        <v/>
      </c>
    </row>
    <row r="164" spans="1:12" ht="15" customHeight="1" x14ac:dyDescent="0.25">
      <c r="A164" s="1" t="str">
        <f>IF(B164="","",COUNTA($B$12:B164))</f>
        <v/>
      </c>
      <c r="G164" s="1" t="str">
        <f>IF(B164="","","FAT-"&amp;TEXT(COUNTA($B$12:B164),"000"))</f>
        <v/>
      </c>
      <c r="L164" s="1" t="str">
        <f t="shared" si="4"/>
        <v/>
      </c>
    </row>
    <row r="165" spans="1:12" ht="15" customHeight="1" x14ac:dyDescent="0.25">
      <c r="A165" s="1" t="str">
        <f>IF(B165="","",COUNTA($B$12:B165))</f>
        <v/>
      </c>
      <c r="G165" s="1" t="str">
        <f>IF(B165="","","FAT-"&amp;TEXT(COUNTA($B$12:B165),"000"))</f>
        <v/>
      </c>
      <c r="L165" s="1" t="str">
        <f t="shared" si="4"/>
        <v/>
      </c>
    </row>
    <row r="166" spans="1:12" ht="15" customHeight="1" x14ac:dyDescent="0.25">
      <c r="A166" s="1" t="str">
        <f>IF(B166="","",COUNTA($B$12:B166))</f>
        <v/>
      </c>
      <c r="G166" s="1" t="str">
        <f>IF(B166="","","FAT-"&amp;TEXT(COUNTA($B$12:B166),"000"))</f>
        <v/>
      </c>
      <c r="L166" s="1" t="str">
        <f t="shared" si="4"/>
        <v/>
      </c>
    </row>
    <row r="167" spans="1:12" ht="15" customHeight="1" x14ac:dyDescent="0.25">
      <c r="A167" s="1" t="str">
        <f>IF(B167="","",COUNTA($B$12:B167))</f>
        <v/>
      </c>
      <c r="G167" s="1" t="str">
        <f>IF(B167="","","FAT-"&amp;TEXT(COUNTA($B$12:B167),"000"))</f>
        <v/>
      </c>
      <c r="L167" s="1" t="str">
        <f t="shared" si="4"/>
        <v/>
      </c>
    </row>
    <row r="168" spans="1:12" ht="15" customHeight="1" x14ac:dyDescent="0.25">
      <c r="A168" s="1" t="str">
        <f>IF(B168="","",COUNTA($B$12:B168))</f>
        <v/>
      </c>
      <c r="G168" s="1" t="str">
        <f>IF(B168="","","FAT-"&amp;TEXT(COUNTA($B$12:B168),"000"))</f>
        <v/>
      </c>
      <c r="L168" s="1" t="str">
        <f t="shared" si="4"/>
        <v/>
      </c>
    </row>
    <row r="169" spans="1:12" ht="15" customHeight="1" x14ac:dyDescent="0.25">
      <c r="A169" s="1" t="str">
        <f>IF(B169="","",COUNTA($B$12:B169))</f>
        <v/>
      </c>
      <c r="G169" s="1" t="str">
        <f>IF(B169="","","FAT-"&amp;TEXT(COUNTA($B$12:B169),"000"))</f>
        <v/>
      </c>
      <c r="L169" s="1" t="str">
        <f t="shared" si="4"/>
        <v/>
      </c>
    </row>
    <row r="170" spans="1:12" ht="15" customHeight="1" x14ac:dyDescent="0.25">
      <c r="A170" s="1" t="str">
        <f>IF(B170="","",COUNTA($B$12:B170))</f>
        <v/>
      </c>
      <c r="G170" s="1" t="str">
        <f>IF(B170="","","FAT-"&amp;TEXT(COUNTA($B$12:B170),"000"))</f>
        <v/>
      </c>
      <c r="L170" s="1" t="str">
        <f t="shared" si="4"/>
        <v/>
      </c>
    </row>
    <row r="171" spans="1:12" ht="15" customHeight="1" x14ac:dyDescent="0.25">
      <c r="A171" s="1" t="str">
        <f>IF(B171="","",COUNTA($B$12:B171))</f>
        <v/>
      </c>
      <c r="G171" s="1" t="str">
        <f>IF(B171="","","FAT-"&amp;TEXT(COUNTA($B$12:B171),"000"))</f>
        <v/>
      </c>
      <c r="L171" s="1" t="str">
        <f t="shared" si="4"/>
        <v/>
      </c>
    </row>
    <row r="172" spans="1:12" ht="15" customHeight="1" x14ac:dyDescent="0.25">
      <c r="A172" s="1" t="str">
        <f>IF(B172="","",COUNTA($B$12:B172))</f>
        <v/>
      </c>
      <c r="G172" s="1" t="str">
        <f>IF(B172="","","FAT-"&amp;TEXT(COUNTA($B$12:B172),"000"))</f>
        <v/>
      </c>
      <c r="L172" s="1" t="str">
        <f t="shared" ref="L172:L200" si="5">IF(B172="","",IF(AND(F172&lt;&gt;"",COUNTIF($F$12:$F$200,F172)&gt;1),"⚠ FATURA DUPLICADA",IF(AND(E172&lt;&gt;"",F172&lt;&gt;"",COUNTIFS($E$12:$E$200,E172,$F$12:$F$200,F172)&gt;1),"⚠ DUPLICADO","")))</f>
        <v/>
      </c>
    </row>
    <row r="173" spans="1:12" ht="15" customHeight="1" x14ac:dyDescent="0.25">
      <c r="A173" s="1" t="str">
        <f>IF(B173="","",COUNTA($B$12:B173))</f>
        <v/>
      </c>
      <c r="G173" s="1" t="str">
        <f>IF(B173="","","FAT-"&amp;TEXT(COUNTA($B$12:B173),"000"))</f>
        <v/>
      </c>
      <c r="L173" s="1" t="str">
        <f t="shared" si="5"/>
        <v/>
      </c>
    </row>
    <row r="174" spans="1:12" ht="15" customHeight="1" x14ac:dyDescent="0.25">
      <c r="A174" s="1" t="str">
        <f>IF(B174="","",COUNTA($B$12:B174))</f>
        <v/>
      </c>
      <c r="G174" s="1" t="str">
        <f>IF(B174="","","FAT-"&amp;TEXT(COUNTA($B$12:B174),"000"))</f>
        <v/>
      </c>
      <c r="L174" s="1" t="str">
        <f t="shared" si="5"/>
        <v/>
      </c>
    </row>
    <row r="175" spans="1:12" ht="15" customHeight="1" x14ac:dyDescent="0.25">
      <c r="A175" s="1" t="str">
        <f>IF(B175="","",COUNTA($B$12:B175))</f>
        <v/>
      </c>
      <c r="G175" s="1" t="str">
        <f>IF(B175="","","FAT-"&amp;TEXT(COUNTA($B$12:B175),"000"))</f>
        <v/>
      </c>
      <c r="L175" s="1" t="str">
        <f t="shared" si="5"/>
        <v/>
      </c>
    </row>
    <row r="176" spans="1:12" ht="15" customHeight="1" x14ac:dyDescent="0.25">
      <c r="A176" s="1" t="str">
        <f>IF(B176="","",COUNTA($B$12:B176))</f>
        <v/>
      </c>
      <c r="G176" s="1" t="str">
        <f>IF(B176="","","FAT-"&amp;TEXT(COUNTA($B$12:B176),"000"))</f>
        <v/>
      </c>
      <c r="L176" s="1" t="str">
        <f t="shared" si="5"/>
        <v/>
      </c>
    </row>
    <row r="177" spans="1:12" ht="15" customHeight="1" x14ac:dyDescent="0.25">
      <c r="A177" s="1" t="str">
        <f>IF(B177="","",COUNTA($B$12:B177))</f>
        <v/>
      </c>
      <c r="G177" s="1" t="str">
        <f>IF(B177="","","FAT-"&amp;TEXT(COUNTA($B$12:B177),"000"))</f>
        <v/>
      </c>
      <c r="L177" s="1" t="str">
        <f t="shared" si="5"/>
        <v/>
      </c>
    </row>
    <row r="178" spans="1:12" ht="15" customHeight="1" x14ac:dyDescent="0.25">
      <c r="A178" s="1" t="str">
        <f>IF(B178="","",COUNTA($B$12:B178))</f>
        <v/>
      </c>
      <c r="G178" s="1" t="str">
        <f>IF(B178="","","FAT-"&amp;TEXT(COUNTA($B$12:B178),"000"))</f>
        <v/>
      </c>
      <c r="L178" s="1" t="str">
        <f t="shared" si="5"/>
        <v/>
      </c>
    </row>
    <row r="179" spans="1:12" ht="15" customHeight="1" x14ac:dyDescent="0.25">
      <c r="A179" s="1" t="str">
        <f>IF(B179="","",COUNTA($B$12:B179))</f>
        <v/>
      </c>
      <c r="G179" s="1" t="str">
        <f>IF(B179="","","FAT-"&amp;TEXT(COUNTA($B$12:B179),"000"))</f>
        <v/>
      </c>
      <c r="L179" s="1" t="str">
        <f t="shared" si="5"/>
        <v/>
      </c>
    </row>
    <row r="180" spans="1:12" ht="15" customHeight="1" x14ac:dyDescent="0.25">
      <c r="A180" s="1" t="str">
        <f>IF(B180="","",COUNTA($B$12:B180))</f>
        <v/>
      </c>
      <c r="G180" s="1" t="str">
        <f>IF(B180="","","FAT-"&amp;TEXT(COUNTA($B$12:B180),"000"))</f>
        <v/>
      </c>
      <c r="L180" s="1" t="str">
        <f t="shared" si="5"/>
        <v/>
      </c>
    </row>
    <row r="181" spans="1:12" ht="15" customHeight="1" x14ac:dyDescent="0.25">
      <c r="A181" s="1" t="str">
        <f>IF(B181="","",COUNTA($B$12:B181))</f>
        <v/>
      </c>
      <c r="G181" s="1" t="str">
        <f>IF(B181="","","FAT-"&amp;TEXT(COUNTA($B$12:B181),"000"))</f>
        <v/>
      </c>
      <c r="L181" s="1" t="str">
        <f t="shared" si="5"/>
        <v/>
      </c>
    </row>
    <row r="182" spans="1:12" ht="15" customHeight="1" x14ac:dyDescent="0.25">
      <c r="A182" s="1" t="str">
        <f>IF(B182="","",COUNTA($B$12:B182))</f>
        <v/>
      </c>
      <c r="G182" s="1" t="str">
        <f>IF(B182="","","FAT-"&amp;TEXT(COUNTA($B$12:B182),"000"))</f>
        <v/>
      </c>
      <c r="L182" s="1" t="str">
        <f t="shared" si="5"/>
        <v/>
      </c>
    </row>
    <row r="183" spans="1:12" ht="15" customHeight="1" x14ac:dyDescent="0.25">
      <c r="A183" s="1" t="str">
        <f>IF(B183="","",COUNTA($B$12:B183))</f>
        <v/>
      </c>
      <c r="G183" s="1" t="str">
        <f>IF(B183="","","FAT-"&amp;TEXT(COUNTA($B$12:B183),"000"))</f>
        <v/>
      </c>
      <c r="L183" s="1" t="str">
        <f t="shared" si="5"/>
        <v/>
      </c>
    </row>
    <row r="184" spans="1:12" ht="15" customHeight="1" x14ac:dyDescent="0.25">
      <c r="A184" s="1" t="str">
        <f>IF(B184="","",COUNTA($B$12:B184))</f>
        <v/>
      </c>
      <c r="G184" s="1" t="str">
        <f>IF(B184="","","FAT-"&amp;TEXT(COUNTA($B$12:B184),"000"))</f>
        <v/>
      </c>
      <c r="L184" s="1" t="str">
        <f t="shared" si="5"/>
        <v/>
      </c>
    </row>
    <row r="185" spans="1:12" ht="15" customHeight="1" x14ac:dyDescent="0.25">
      <c r="A185" s="1" t="str">
        <f>IF(B185="","",COUNTA($B$12:B185))</f>
        <v/>
      </c>
      <c r="G185" s="1" t="str">
        <f>IF(B185="","","FAT-"&amp;TEXT(COUNTA($B$12:B185),"000"))</f>
        <v/>
      </c>
      <c r="L185" s="1" t="str">
        <f t="shared" si="5"/>
        <v/>
      </c>
    </row>
    <row r="186" spans="1:12" ht="15" customHeight="1" x14ac:dyDescent="0.25">
      <c r="A186" s="1" t="str">
        <f>IF(B186="","",COUNTA($B$12:B186))</f>
        <v/>
      </c>
      <c r="G186" s="1" t="str">
        <f>IF(B186="","","FAT-"&amp;TEXT(COUNTA($B$12:B186),"000"))</f>
        <v/>
      </c>
      <c r="L186" s="1" t="str">
        <f t="shared" si="5"/>
        <v/>
      </c>
    </row>
    <row r="187" spans="1:12" ht="15" customHeight="1" x14ac:dyDescent="0.25">
      <c r="A187" s="1" t="str">
        <f>IF(B187="","",COUNTA($B$12:B187))</f>
        <v/>
      </c>
      <c r="G187" s="1" t="str">
        <f>IF(B187="","","FAT-"&amp;TEXT(COUNTA($B$12:B187),"000"))</f>
        <v/>
      </c>
      <c r="L187" s="1" t="str">
        <f t="shared" si="5"/>
        <v/>
      </c>
    </row>
    <row r="188" spans="1:12" ht="15" customHeight="1" x14ac:dyDescent="0.25">
      <c r="A188" s="1" t="str">
        <f>IF(B188="","",COUNTA($B$12:B188))</f>
        <v/>
      </c>
      <c r="G188" s="1" t="str">
        <f>IF(B188="","","FAT-"&amp;TEXT(COUNTA($B$12:B188),"000"))</f>
        <v/>
      </c>
      <c r="L188" s="1" t="str">
        <f t="shared" si="5"/>
        <v/>
      </c>
    </row>
    <row r="189" spans="1:12" ht="15" customHeight="1" x14ac:dyDescent="0.25">
      <c r="A189" s="1" t="str">
        <f>IF(B189="","",COUNTA($B$12:B189))</f>
        <v/>
      </c>
      <c r="G189" s="1" t="str">
        <f>IF(B189="","","FAT-"&amp;TEXT(COUNTA($B$12:B189),"000"))</f>
        <v/>
      </c>
      <c r="L189" s="1" t="str">
        <f t="shared" si="5"/>
        <v/>
      </c>
    </row>
    <row r="190" spans="1:12" ht="15" customHeight="1" x14ac:dyDescent="0.25">
      <c r="A190" s="1" t="str">
        <f>IF(B190="","",COUNTA($B$12:B190))</f>
        <v/>
      </c>
      <c r="G190" s="1" t="str">
        <f>IF(B190="","","FAT-"&amp;TEXT(COUNTA($B$12:B190),"000"))</f>
        <v/>
      </c>
      <c r="L190" s="1" t="str">
        <f t="shared" si="5"/>
        <v/>
      </c>
    </row>
    <row r="191" spans="1:12" ht="15" customHeight="1" x14ac:dyDescent="0.25">
      <c r="A191" s="1" t="str">
        <f>IF(B191="","",COUNTA($B$12:B191))</f>
        <v/>
      </c>
      <c r="G191" s="1" t="str">
        <f>IF(B191="","","FAT-"&amp;TEXT(COUNTA($B$12:B191),"000"))</f>
        <v/>
      </c>
      <c r="L191" s="1" t="str">
        <f t="shared" si="5"/>
        <v/>
      </c>
    </row>
    <row r="192" spans="1:12" ht="15" customHeight="1" x14ac:dyDescent="0.25">
      <c r="A192" s="1" t="str">
        <f>IF(B192="","",COUNTA($B$12:B192))</f>
        <v/>
      </c>
      <c r="G192" s="1" t="str">
        <f>IF(B192="","","FAT-"&amp;TEXT(COUNTA($B$12:B192),"000"))</f>
        <v/>
      </c>
      <c r="L192" s="1" t="str">
        <f t="shared" si="5"/>
        <v/>
      </c>
    </row>
    <row r="193" spans="1:12" ht="15" customHeight="1" x14ac:dyDescent="0.25">
      <c r="A193" s="1" t="str">
        <f>IF(B193="","",COUNTA($B$12:B193))</f>
        <v/>
      </c>
      <c r="G193" s="1" t="str">
        <f>IF(B193="","","FAT-"&amp;TEXT(COUNTA($B$12:B193),"000"))</f>
        <v/>
      </c>
      <c r="L193" s="1" t="str">
        <f t="shared" si="5"/>
        <v/>
      </c>
    </row>
    <row r="194" spans="1:12" ht="15" customHeight="1" x14ac:dyDescent="0.25">
      <c r="A194" s="1" t="str">
        <f>IF(B194="","",COUNTA($B$12:B194))</f>
        <v/>
      </c>
      <c r="G194" s="1" t="str">
        <f>IF(B194="","","FAT-"&amp;TEXT(COUNTA($B$12:B194),"000"))</f>
        <v/>
      </c>
      <c r="L194" s="1" t="str">
        <f t="shared" si="5"/>
        <v/>
      </c>
    </row>
    <row r="195" spans="1:12" ht="15" customHeight="1" x14ac:dyDescent="0.25">
      <c r="A195" s="1" t="str">
        <f>IF(B195="","",COUNTA($B$12:B195))</f>
        <v/>
      </c>
      <c r="G195" s="1" t="str">
        <f>IF(B195="","","FAT-"&amp;TEXT(COUNTA($B$12:B195),"000"))</f>
        <v/>
      </c>
      <c r="L195" s="1" t="str">
        <f t="shared" si="5"/>
        <v/>
      </c>
    </row>
    <row r="196" spans="1:12" ht="15" customHeight="1" x14ac:dyDescent="0.25">
      <c r="A196" s="1" t="str">
        <f>IF(B196="","",COUNTA($B$12:B196))</f>
        <v/>
      </c>
      <c r="G196" s="1" t="str">
        <f>IF(B196="","","FAT-"&amp;TEXT(COUNTA($B$12:B196),"000"))</f>
        <v/>
      </c>
      <c r="L196" s="1" t="str">
        <f t="shared" si="5"/>
        <v/>
      </c>
    </row>
    <row r="197" spans="1:12" ht="15" customHeight="1" x14ac:dyDescent="0.25">
      <c r="A197" s="1" t="str">
        <f>IF(B197="","",COUNTA($B$12:B197))</f>
        <v/>
      </c>
      <c r="G197" s="1" t="str">
        <f>IF(B197="","","FAT-"&amp;TEXT(COUNTA($B$12:B197),"000"))</f>
        <v/>
      </c>
      <c r="L197" s="1" t="str">
        <f t="shared" si="5"/>
        <v/>
      </c>
    </row>
    <row r="198" spans="1:12" ht="15" customHeight="1" x14ac:dyDescent="0.25">
      <c r="A198" s="1" t="str">
        <f>IF(B198="","",COUNTA($B$12:B198))</f>
        <v/>
      </c>
      <c r="G198" s="1" t="str">
        <f>IF(B198="","","FAT-"&amp;TEXT(COUNTA($B$12:B198),"000"))</f>
        <v/>
      </c>
      <c r="L198" s="1" t="str">
        <f t="shared" si="5"/>
        <v/>
      </c>
    </row>
    <row r="199" spans="1:12" ht="15" customHeight="1" x14ac:dyDescent="0.25">
      <c r="A199" s="1" t="str">
        <f>IF(B199="","",COUNTA($B$12:B199))</f>
        <v/>
      </c>
      <c r="G199" s="1" t="str">
        <f>IF(B199="","","FAT-"&amp;TEXT(COUNTA($B$12:B199),"000"))</f>
        <v/>
      </c>
      <c r="L199" s="1" t="str">
        <f t="shared" si="5"/>
        <v/>
      </c>
    </row>
    <row r="200" spans="1:12" ht="15" customHeight="1" x14ac:dyDescent="0.25">
      <c r="A200" s="1" t="str">
        <f>IF(B200="","",COUNTA($B$12:B200))</f>
        <v/>
      </c>
      <c r="G200" s="1" t="str">
        <f>IF(B200="","","FAT-"&amp;TEXT(COUNTA($B$12:B200),"000"))</f>
        <v/>
      </c>
      <c r="L200" s="1" t="str">
        <f t="shared" si="5"/>
        <v/>
      </c>
    </row>
  </sheetData>
  <mergeCells count="5">
    <mergeCell ref="A1:L1"/>
    <mergeCell ref="A2:L2"/>
    <mergeCell ref="A3:L3"/>
    <mergeCell ref="A5:C5"/>
    <mergeCell ref="A10:L10"/>
  </mergeCells>
  <conditionalFormatting sqref="E12:E100">
    <cfRule type="expression" dxfId="3" priority="3">
      <formula>AND(E12&lt;&gt;"",F12&lt;&gt;"",COUNTIFS($E$12:$E$100,E12,$F$12:$F$100,F12)&gt;1)</formula>
    </cfRule>
  </conditionalFormatting>
  <conditionalFormatting sqref="F12:F100">
    <cfRule type="expression" dxfId="2" priority="2">
      <formula>AND(F12&lt;&gt;"",COUNTIF($F$12:$F$100,F12)&gt;1)</formula>
    </cfRule>
  </conditionalFormatting>
  <dataValidations count="3">
    <dataValidation type="list" allowBlank="1" sqref="H12:H100" xr:uid="{00000000-0002-0000-0000-000000000000}">
      <formula1>"Entrada,Despesa"</formula1>
      <formula2>0</formula2>
    </dataValidation>
    <dataValidation type="list" allowBlank="1" sqref="C12:C200" xr:uid="{00000000-0002-0000-0000-000001000000}">
      <formula1>"Empréstimo Sócio,Adiantamento Sócio,Pintura Exterior,Pintura Interior,Serralharia,Material Serralharia,Mão de Obra,Panfletos / Publicidade,Publicidade Exterior,Material de Escritório,Salários,Uniformes,Mobiliário,Equipamentos,Limpeza / Higiene,Água / Luz"</formula1>
      <formula2>0</formula2>
    </dataValidation>
    <dataValidation type="list" allowBlank="1" sqref="J12:J200" xr:uid="{00000000-0002-0000-0000-000002000000}">
      <formula1>"Dinheiro,Transferência,Transferência Express,Cartão Multicaixa,Cheque,Outro"</formula1>
      <formula2>0</formula2>
    </dataValidation>
  </dataValidations>
  <printOptions horizontalCentered="1"/>
  <pageMargins left="0.4" right="0.4" top="0.5" bottom="0.5" header="0.511811023622047" footer="0.511811023622047"/>
  <pageSetup paperSize="9" scale="58" fitToHeight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100"/>
  <sheetViews>
    <sheetView topLeftCell="A6" zoomScaleNormal="100" workbookViewId="0">
      <selection activeCell="C24" sqref="C24"/>
    </sheetView>
  </sheetViews>
  <sheetFormatPr defaultColWidth="8.7109375" defaultRowHeight="15" x14ac:dyDescent="0.25"/>
  <cols>
    <col min="1" max="1" width="35" style="1" customWidth="1"/>
    <col min="2" max="2" width="11" style="1" customWidth="1"/>
    <col min="3" max="3" width="24.5703125" style="1" customWidth="1"/>
    <col min="4" max="4" width="32" style="1" customWidth="1"/>
    <col min="5" max="5" width="24.28515625" style="1" customWidth="1"/>
    <col min="6" max="6" width="33" style="1" customWidth="1"/>
    <col min="7" max="7" width="14" style="1" customWidth="1"/>
    <col min="8" max="8" width="46.85546875" style="1" customWidth="1"/>
    <col min="9" max="9" width="12" style="1" customWidth="1"/>
    <col min="10" max="10" width="35" style="1" customWidth="1"/>
    <col min="11" max="11" width="12" style="1" customWidth="1"/>
    <col min="12" max="12" width="20" style="1" customWidth="1"/>
  </cols>
  <sheetData>
    <row r="1" spans="1:12" ht="19.5" customHeight="1" x14ac:dyDescent="0.3">
      <c r="A1" s="50" t="s">
        <v>152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1:12" ht="15" customHeight="1" x14ac:dyDescent="0.25">
      <c r="A2" s="51" t="s">
        <v>153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</row>
    <row r="3" spans="1:12" ht="15" customHeight="1" x14ac:dyDescent="0.25">
      <c r="A3" s="52" t="s">
        <v>154</v>
      </c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</row>
    <row r="5" spans="1:12" ht="15" customHeight="1" x14ac:dyDescent="0.25">
      <c r="A5" s="53" t="s">
        <v>155</v>
      </c>
      <c r="B5" s="53"/>
      <c r="C5" s="53"/>
    </row>
    <row r="6" spans="1:12" ht="15" customHeight="1" x14ac:dyDescent="0.25">
      <c r="A6" s="1" t="s">
        <v>156</v>
      </c>
      <c r="B6" s="18">
        <f>COUNTA(A12:A100)</f>
        <v>54</v>
      </c>
    </row>
    <row r="7" spans="1:12" ht="15" customHeight="1" x14ac:dyDescent="0.25">
      <c r="A7" s="1" t="s">
        <v>157</v>
      </c>
      <c r="B7" s="18">
        <f>COUNTIF(G12:G100,"Sim")</f>
        <v>1</v>
      </c>
    </row>
    <row r="8" spans="1:12" ht="15" customHeight="1" x14ac:dyDescent="0.25">
      <c r="A8" s="1" t="s">
        <v>158</v>
      </c>
      <c r="B8" s="18">
        <f>COUNTIF(G12:G100,"Não")+COUNTIF(G12:G100,"Pendente")</f>
        <v>51</v>
      </c>
    </row>
    <row r="9" spans="1:12" ht="15" customHeight="1" x14ac:dyDescent="0.25">
      <c r="A9" s="1" t="s">
        <v>159</v>
      </c>
      <c r="B9" s="54" t="s">
        <v>160</v>
      </c>
      <c r="C9" s="54"/>
      <c r="D9" s="54"/>
    </row>
    <row r="10" spans="1:12" ht="15" customHeight="1" x14ac:dyDescent="0.25">
      <c r="A10" s="47" t="s">
        <v>161</v>
      </c>
      <c r="B10" s="47"/>
      <c r="C10" s="47"/>
      <c r="D10" s="47"/>
      <c r="E10" s="47"/>
      <c r="F10" s="47"/>
      <c r="G10" s="47"/>
      <c r="H10" s="47"/>
      <c r="I10" s="47"/>
      <c r="J10" s="47"/>
      <c r="K10" s="47"/>
      <c r="L10" s="47"/>
    </row>
    <row r="11" spans="1:12" ht="31.5" customHeight="1" x14ac:dyDescent="0.25">
      <c r="A11" s="19" t="s">
        <v>162</v>
      </c>
      <c r="B11" s="19" t="s">
        <v>163</v>
      </c>
      <c r="C11" s="19" t="s">
        <v>12</v>
      </c>
      <c r="D11" s="19" t="s">
        <v>164</v>
      </c>
      <c r="E11" s="19" t="s">
        <v>14</v>
      </c>
      <c r="F11" s="19" t="s">
        <v>165</v>
      </c>
      <c r="G11" s="19" t="s">
        <v>166</v>
      </c>
      <c r="H11" s="19" t="s">
        <v>167</v>
      </c>
      <c r="I11" s="19" t="s">
        <v>168</v>
      </c>
      <c r="J11" s="19" t="s">
        <v>169</v>
      </c>
      <c r="K11" s="19" t="s">
        <v>170</v>
      </c>
      <c r="L11" s="19" t="s">
        <v>20</v>
      </c>
    </row>
    <row r="12" spans="1:12" ht="15" customHeight="1" x14ac:dyDescent="0.25">
      <c r="A12" s="20" t="s">
        <v>171</v>
      </c>
      <c r="B12" s="21">
        <f>IF(A12="","",IFERROR(INDEX(Lançamentos!B:B,MATCH(A12,Lançamentos!G:G,0)),"—"))</f>
        <v>46187</v>
      </c>
      <c r="C12" s="22" t="str">
        <f>IF(A12="","",IFERROR(INDEX(Lançamentos!C:C,MATCH(A12,Lançamentos!G:G,0)),"—"))</f>
        <v>Empréstimo Sócio</v>
      </c>
      <c r="D12" s="22" t="str">
        <f>IF(A12="","",IFERROR(INDEX(Lançamentos!D:D,MATCH(A12,Lançamentos!G:G,0)),"—"))</f>
        <v>Entrada de capital do sócio (total das despesas de arranque)</v>
      </c>
      <c r="E12" s="22">
        <f>IF(A12="","",IFERROR(INDEX(Lançamentos!E:E,MATCH(A12,Lançamentos!G:G,0)),"—"))</f>
        <v>0</v>
      </c>
      <c r="F12" s="23">
        <f>IF(A12="","",IFERROR(INDEX(Lançamentos!F:F,MATCH(A12,Lançamentos!G:G,0)),"—"))</f>
        <v>0</v>
      </c>
      <c r="G12" s="20" t="s">
        <v>172</v>
      </c>
      <c r="H12" s="22" t="str">
        <f>IF(A12="","",A12&amp;"_"&amp;IFERROR(SUBSTITUTE(INDEX(Lançamentos!C:C,MATCH(A12,Lançamentos!G:G,0))," ","-"),"")&amp;"_"&amp;TEXT(IFERROR(INDEX(Lançamentos!B:B,MATCH(A12,Lançamentos!G:G,0)),""),"YYYY-MM-DD")&amp;".pdf")</f>
        <v>FAT-001_Empréstimo-Sócio_2026-06-14.pdf</v>
      </c>
      <c r="I12" s="20" t="s">
        <v>173</v>
      </c>
      <c r="J12" s="24"/>
      <c r="K12" s="25"/>
      <c r="L12" s="26"/>
    </row>
    <row r="13" spans="1:12" ht="15" customHeight="1" x14ac:dyDescent="0.25">
      <c r="A13" s="20" t="s">
        <v>174</v>
      </c>
      <c r="B13" s="21">
        <f>IF(A13="","",IFERROR(INDEX(Lançamentos!B:B,MATCH(A13,Lançamentos!G:G,0)),"—"))</f>
        <v>46187</v>
      </c>
      <c r="C13" s="22" t="str">
        <f>IF(A13="","",IFERROR(INDEX(Lançamentos!C:C,MATCH(A13,Lançamentos!G:G,0)),"—"))</f>
        <v>Pintura Exterior</v>
      </c>
      <c r="D13" s="22" t="str">
        <f>IF(A13="","",IFERROR(INDEX(Lançamentos!D:D,MATCH(A13,Lançamentos!G:G,0)),"—"))</f>
        <v>Tinta para pintura exterior</v>
      </c>
      <c r="E13" s="22" t="str">
        <f>IF(A13="","",IFERROR(INDEX(Lançamentos!E:E,MATCH(A13,Lançamentos!G:G,0)),"—"))</f>
        <v>Achour - Comércio Geral</v>
      </c>
      <c r="F13" s="23" t="str">
        <f>IF(A13="","",IFERROR(INDEX(Lançamentos!F:F,MATCH(A13,Lançamentos!G:G,0)),"—"))</f>
        <v>829</v>
      </c>
      <c r="G13" s="20" t="s">
        <v>175</v>
      </c>
      <c r="H13" s="22" t="str">
        <f>IF(A13="","",A13&amp;"_"&amp;IFERROR(SUBSTITUTE(INDEX(Lançamentos!C:C,MATCH(A13,Lançamentos!G:G,0))," ","-"),"")&amp;"_"&amp;TEXT(IFERROR(INDEX(Lançamentos!B:B,MATCH(A13,Lançamentos!G:G,0)),""),"YYYY-MM-DD")&amp;".pdf")</f>
        <v>FAT-002_Pintura-Exterior_2026-06-14.pdf</v>
      </c>
      <c r="I13" s="20"/>
      <c r="J13" s="24"/>
      <c r="K13" s="25"/>
      <c r="L13" s="26"/>
    </row>
    <row r="14" spans="1:12" ht="15" customHeight="1" x14ac:dyDescent="0.25">
      <c r="A14" s="20" t="s">
        <v>176</v>
      </c>
      <c r="B14" s="21">
        <f>IF(A14="","",IFERROR(INDEX(Lançamentos!B:B,MATCH(A14,Lançamentos!G:G,0)),"—"))</f>
        <v>46198</v>
      </c>
      <c r="C14" s="22" t="str">
        <f>IF(A14="","",IFERROR(INDEX(Lançamentos!C:C,MATCH(A14,Lançamentos!G:G,0)),"—"))</f>
        <v>Internet / Telefone</v>
      </c>
      <c r="D14" s="22" t="str">
        <f>IF(A14="","",IFERROR(INDEX(Lançamentos!D:D,MATCH(A14,Lançamentos!G:G,0)),"—"))</f>
        <v>Telemóvel secretaria</v>
      </c>
      <c r="E14" s="22" t="str">
        <f>IF(A14="","",IFERROR(INDEX(Lançamentos!E:E,MATCH(A14,Lançamentos!G:G,0)),"—"))</f>
        <v>Mobismart</v>
      </c>
      <c r="F14" s="23" t="str">
        <f>IF(A14="","",IFERROR(INDEX(Lançamentos!F:F,MATCH(A14,Lançamentos!G:G,0)),"—"))</f>
        <v>´202606251721242870014</v>
      </c>
      <c r="G14" s="20" t="s">
        <v>175</v>
      </c>
      <c r="H14" s="22" t="str">
        <f>IF(A14="","",A14&amp;"_"&amp;IFERROR(SUBSTITUTE(INDEX(Lançamentos!C:C,MATCH(A14,Lançamentos!G:G,0))," ","-"),"")&amp;"_"&amp;TEXT(IFERROR(INDEX(Lançamentos!B:B,MATCH(A14,Lançamentos!G:G,0)),""),"YYYY-MM-DD")&amp;".pdf")</f>
        <v>FAT-003_Internet-/-Telefone_2026-06-25.pdf</v>
      </c>
      <c r="I14" s="20"/>
      <c r="J14" s="24"/>
      <c r="K14" s="25"/>
      <c r="L14" s="26"/>
    </row>
    <row r="15" spans="1:12" ht="15" customHeight="1" x14ac:dyDescent="0.25">
      <c r="A15" s="20" t="s">
        <v>177</v>
      </c>
      <c r="B15" s="21">
        <f>IF(A15="","",IFERROR(INDEX(Lançamentos!B:B,MATCH(A15,Lançamentos!G:G,0)),"—"))</f>
        <v>46198</v>
      </c>
      <c r="C15" s="22" t="str">
        <f>IF(A15="","",IFERROR(INDEX(Lançamentos!C:C,MATCH(A15,Lançamentos!G:G,0)),"—"))</f>
        <v>Internet / Telefone</v>
      </c>
      <c r="D15" s="22" t="str">
        <f>IF(A15="","",IFERROR(INDEX(Lançamentos!D:D,MATCH(A15,Lançamentos!G:G,0)),"—"))</f>
        <v>Telemóvel direcção pedagógica</v>
      </c>
      <c r="E15" s="22" t="str">
        <f>IF(A15="","",IFERROR(INDEX(Lançamentos!E:E,MATCH(A15,Lançamentos!G:G,0)),"—"))</f>
        <v>Mobismart</v>
      </c>
      <c r="F15" s="23" t="str">
        <f>IF(A15="","",IFERROR(INDEX(Lançamentos!F:F,MATCH(A15,Lançamentos!G:G,0)),"—"))</f>
        <v>´202606251717116930013</v>
      </c>
      <c r="G15" s="20" t="s">
        <v>175</v>
      </c>
      <c r="H15" s="22" t="str">
        <f>IF(A15="","",A15&amp;"_"&amp;IFERROR(SUBSTITUTE(INDEX(Lançamentos!C:C,MATCH(A15,Lançamentos!G:G,0))," ","-"),"")&amp;"_"&amp;TEXT(IFERROR(INDEX(Lançamentos!B:B,MATCH(A15,Lançamentos!G:G,0)),""),"YYYY-MM-DD")&amp;".pdf")</f>
        <v>FAT-004_Internet-/-Telefone_2026-06-25.pdf</v>
      </c>
      <c r="I15" s="20"/>
      <c r="J15" s="24"/>
      <c r="K15" s="25"/>
      <c r="L15" s="26"/>
    </row>
    <row r="16" spans="1:12" ht="15" customHeight="1" x14ac:dyDescent="0.25">
      <c r="A16" s="20" t="s">
        <v>178</v>
      </c>
      <c r="B16" s="21">
        <f>IF(A16="","",IFERROR(INDEX(Lançamentos!B:B,MATCH(A16,Lançamentos!G:G,0)),"—"))</f>
        <v>46198</v>
      </c>
      <c r="C16" s="22" t="str">
        <f>IF(A16="","",IFERROR(INDEX(Lançamentos!C:C,MATCH(A16,Lançamentos!G:G,0)),"—"))</f>
        <v>Internet / Telefone</v>
      </c>
      <c r="D16" s="22" t="str">
        <f>IF(A16="","",IFERROR(INDEX(Lançamentos!D:D,MATCH(A16,Lançamentos!G:G,0)),"—"))</f>
        <v>Cartão SIM 945402542</v>
      </c>
      <c r="E16" s="22" t="str">
        <f>IF(A16="","",IFERROR(INDEX(Lançamentos!E:E,MATCH(A16,Lançamentos!G:G,0)),"—"))</f>
        <v>Unitel</v>
      </c>
      <c r="F16" s="23" t="str">
        <f>IF(A16="","",IFERROR(INDEX(Lançamentos!F:F,MATCH(A16,Lançamentos!G:G,0)),"—"))</f>
        <v>FR4426S42818N/174541</v>
      </c>
      <c r="G16" s="20" t="s">
        <v>175</v>
      </c>
      <c r="H16" s="22" t="str">
        <f>IF(A16="","",A16&amp;"_"&amp;IFERROR(SUBSTITUTE(INDEX(Lançamentos!C:C,MATCH(A16,Lançamentos!G:G,0))," ","-"),"")&amp;"_"&amp;TEXT(IFERROR(INDEX(Lançamentos!B:B,MATCH(A16,Lançamentos!G:G,0)),""),"YYYY-MM-DD")&amp;".pdf")</f>
        <v>FAT-005_Internet-/-Telefone_2026-06-25.pdf</v>
      </c>
      <c r="I16" s="20"/>
      <c r="J16" s="24"/>
      <c r="K16" s="25"/>
      <c r="L16" s="26"/>
    </row>
    <row r="17" spans="1:12" ht="15" customHeight="1" x14ac:dyDescent="0.25">
      <c r="A17" s="20" t="s">
        <v>179</v>
      </c>
      <c r="B17" s="21">
        <f>IF(A17="","",IFERROR(INDEX(Lançamentos!B:B,MATCH(A17,Lançamentos!G:G,0)),"—"))</f>
        <v>46198</v>
      </c>
      <c r="C17" s="22" t="str">
        <f>IF(A17="","",IFERROR(INDEX(Lançamentos!C:C,MATCH(A17,Lançamentos!G:G,0)),"—"))</f>
        <v>Internet / Telefone</v>
      </c>
      <c r="D17" s="22" t="str">
        <f>IF(A17="","",IFERROR(INDEX(Lançamentos!D:D,MATCH(A17,Lançamentos!G:G,0)),"—"))</f>
        <v>Cartões SIM (3 números)</v>
      </c>
      <c r="E17" s="22" t="str">
        <f>IF(A17="","",IFERROR(INDEX(Lançamentos!E:E,MATCH(A17,Lançamentos!G:G,0)),"—"))</f>
        <v>Unitel</v>
      </c>
      <c r="F17" s="23" t="str">
        <f>IF(A17="","",IFERROR(INDEX(Lançamentos!F:F,MATCH(A17,Lançamentos!G:G,0)),"—"))</f>
        <v>FR4426S42818N/174538</v>
      </c>
      <c r="G17" s="20" t="s">
        <v>175</v>
      </c>
      <c r="H17" s="22" t="str">
        <f>IF(A17="","",A17&amp;"_"&amp;IFERROR(SUBSTITUTE(INDEX(Lançamentos!C:C,MATCH(A17,Lançamentos!G:G,0))," ","-"),"")&amp;"_"&amp;TEXT(IFERROR(INDEX(Lançamentos!B:B,MATCH(A17,Lançamentos!G:G,0)),""),"YYYY-MM-DD")&amp;".pdf")</f>
        <v>FAT-006_Internet-/-Telefone_2026-06-25.pdf</v>
      </c>
      <c r="I17" s="20"/>
      <c r="J17" s="24"/>
      <c r="K17" s="25"/>
      <c r="L17" s="26"/>
    </row>
    <row r="18" spans="1:12" ht="15" customHeight="1" x14ac:dyDescent="0.25">
      <c r="A18" s="20" t="s">
        <v>180</v>
      </c>
      <c r="B18" s="21">
        <f>IF(A18="","",IFERROR(INDEX(Lançamentos!B:B,MATCH(A18,Lançamentos!G:G,0)),"—"))</f>
        <v>46198</v>
      </c>
      <c r="C18" s="22" t="str">
        <f>IF(A18="","",IFERROR(INDEX(Lançamentos!C:C,MATCH(A18,Lançamentos!G:G,0)),"—"))</f>
        <v>Material de Escritório</v>
      </c>
      <c r="D18" s="22" t="str">
        <f>IF(A18="","",IFERROR(INDEX(Lançamentos!D:D,MATCH(A18,Lançamentos!G:G,0)),"—"))</f>
        <v>Material de escritório</v>
      </c>
      <c r="E18" s="22" t="str">
        <f>IF(A18="","",IFERROR(INDEX(Lançamentos!E:E,MATCH(A18,Lançamentos!G:G,0)),"—"))</f>
        <v>KERO</v>
      </c>
      <c r="F18" s="23" t="str">
        <f>IF(A18="","",IFERROR(INDEX(Lançamentos!F:F,MATCH(A18,Lançamentos!G:G,0)),"—"))</f>
        <v>FR8326S25915N/6523</v>
      </c>
      <c r="G18" s="20" t="s">
        <v>175</v>
      </c>
      <c r="H18" s="22" t="str">
        <f>IF(A18="","",A18&amp;"_"&amp;IFERROR(SUBSTITUTE(INDEX(Lançamentos!C:C,MATCH(A18,Lançamentos!G:G,0))," ","-"),"")&amp;"_"&amp;TEXT(IFERROR(INDEX(Lançamentos!B:B,MATCH(A18,Lançamentos!G:G,0)),""),"YYYY-MM-DD")&amp;".pdf")</f>
        <v>FAT-007_Material-de-Escritório_2026-06-25.pdf</v>
      </c>
      <c r="I18" s="20"/>
      <c r="J18" s="24"/>
      <c r="K18" s="25"/>
      <c r="L18" s="26"/>
    </row>
    <row r="19" spans="1:12" ht="15" customHeight="1" x14ac:dyDescent="0.25">
      <c r="A19" s="20" t="s">
        <v>181</v>
      </c>
      <c r="B19" s="21">
        <f>IF(A19="","",IFERROR(INDEX(Lançamentos!B:B,MATCH(A19,Lançamentos!G:G,0)),"—"))</f>
        <v>46199</v>
      </c>
      <c r="C19" s="22" t="str">
        <f>IF(A19="","",IFERROR(INDEX(Lançamentos!C:C,MATCH(A19,Lançamentos!G:G,0)),"—"))</f>
        <v>Equipamentos</v>
      </c>
      <c r="D19" s="22" t="str">
        <f>IF(A19="","",IFERROR(INDEX(Lançamentos!D:D,MATCH(A19,Lançamentos!G:G,0)),"—"))</f>
        <v>4 tinteiros HP Officejet Pro 7740</v>
      </c>
      <c r="E19" s="22" t="str">
        <f>IF(A19="","",IFERROR(INDEX(Lançamentos!E:E,MATCH(A19,Lançamentos!G:G,0)),"—"))</f>
        <v>NCR</v>
      </c>
      <c r="F19" s="23" t="str">
        <f>IF(A19="","",IFERROR(INDEX(Lançamentos!F:F,MATCH(A19,Lançamentos!G:G,0)),"—"))</f>
        <v>FR4726S809N/35071</v>
      </c>
      <c r="G19" s="20" t="s">
        <v>175</v>
      </c>
      <c r="H19" s="22" t="str">
        <f>IF(A19="","",A19&amp;"_"&amp;IFERROR(SUBSTITUTE(INDEX(Lançamentos!C:C,MATCH(A19,Lançamentos!G:G,0))," ","-"),"")&amp;"_"&amp;TEXT(IFERROR(INDEX(Lançamentos!B:B,MATCH(A19,Lançamentos!G:G,0)),""),"YYYY-MM-DD")&amp;".pdf")</f>
        <v>FAT-008_Equipamentos_2026-06-26.pdf</v>
      </c>
      <c r="I19" s="20"/>
      <c r="J19" s="24"/>
      <c r="K19" s="25"/>
      <c r="L19" s="26"/>
    </row>
    <row r="20" spans="1:12" ht="15" customHeight="1" x14ac:dyDescent="0.25">
      <c r="A20" s="20" t="s">
        <v>182</v>
      </c>
      <c r="B20" s="21">
        <f>IF(A20="","",IFERROR(INDEX(Lançamentos!B:B,MATCH(A20,Lançamentos!G:G,0)),"—"))</f>
        <v>46199</v>
      </c>
      <c r="C20" s="22" t="str">
        <f>IF(A20="","",IFERROR(INDEX(Lançamentos!C:C,MATCH(A20,Lançamentos!G:G,0)),"—"))</f>
        <v>Outras Despesas</v>
      </c>
      <c r="D20" s="22" t="str">
        <f>IF(A20="","",IFERROR(INDEX(Lançamentos!D:D,MATCH(A20,Lançamentos!G:G,0)),"—"))</f>
        <v>2 fechaduras</v>
      </c>
      <c r="E20" s="22" t="str">
        <f>IF(A20="","",IFERROR(INDEX(Lançamentos!E:E,MATCH(A20,Lançamentos!G:G,0)),"—"))</f>
        <v>Sahal Trading - Imp. &amp; Exp.</v>
      </c>
      <c r="F20" s="23" t="str">
        <f>IF(A20="","",IFERROR(INDEX(Lançamentos!F:F,MATCH(A20,Lançamentos!G:G,0)),"—"))</f>
        <v>RTJ2026/1157</v>
      </c>
      <c r="G20" s="20" t="s">
        <v>175</v>
      </c>
      <c r="H20" s="22" t="str">
        <f>IF(A20="","",A20&amp;"_"&amp;IFERROR(SUBSTITUTE(INDEX(Lançamentos!C:C,MATCH(A20,Lançamentos!G:G,0))," ","-"),"")&amp;"_"&amp;TEXT(IFERROR(INDEX(Lançamentos!B:B,MATCH(A20,Lançamentos!G:G,0)),""),"YYYY-MM-DD")&amp;".pdf")</f>
        <v>FAT-009_Outras-Despesas_2026-06-26.pdf</v>
      </c>
      <c r="I20" s="20"/>
      <c r="J20" s="24"/>
      <c r="K20" s="25"/>
      <c r="L20" s="26"/>
    </row>
    <row r="21" spans="1:12" ht="15" customHeight="1" x14ac:dyDescent="0.25">
      <c r="A21" s="20" t="s">
        <v>183</v>
      </c>
      <c r="B21" s="21">
        <f>IF(A21="","",IFERROR(INDEX(Lançamentos!B:B,MATCH(A21,Lançamentos!G:G,0)),"—"))</f>
        <v>46204</v>
      </c>
      <c r="C21" s="22" t="str">
        <f>IF(A21="","",IFERROR(INDEX(Lançamentos!C:C,MATCH(A21,Lançamentos!G:G,0)),"—"))</f>
        <v>Pintura Exterior</v>
      </c>
      <c r="D21" s="22" t="str">
        <f>IF(A21="","",IFERROR(INDEX(Lançamentos!D:D,MATCH(A21,Lançamentos!G:G,0)),"—"))</f>
        <v>Tintas exterior e material construção</v>
      </c>
      <c r="E21" s="22" t="str">
        <f>IF(A21="","",IFERROR(INDEX(Lançamentos!E:E,MATCH(A21,Lançamentos!G:G,0)),"—"))</f>
        <v>Comércio Geral - Imp. &amp; Exp.</v>
      </c>
      <c r="F21" s="23" t="str">
        <f>IF(A21="","",IFERROR(INDEX(Lançamentos!F:F,MATCH(A21,Lançamentos!G:G,0)),"—"))</f>
        <v>1083</v>
      </c>
      <c r="G21" s="20" t="s">
        <v>175</v>
      </c>
      <c r="H21" s="22" t="str">
        <f>IF(A21="","",A21&amp;"_"&amp;IFERROR(SUBSTITUTE(INDEX(Lançamentos!C:C,MATCH(A21,Lançamentos!G:G,0))," ","-"),"")&amp;"_"&amp;TEXT(IFERROR(INDEX(Lançamentos!B:B,MATCH(A21,Lançamentos!G:G,0)),""),"YYYY-MM-DD")&amp;".pdf")</f>
        <v>FAT-010_Pintura-Exterior_2026-07-01.pdf</v>
      </c>
      <c r="I21" s="20"/>
      <c r="J21" s="24"/>
      <c r="K21" s="25"/>
      <c r="L21" s="26"/>
    </row>
    <row r="22" spans="1:12" ht="15" customHeight="1" x14ac:dyDescent="0.25">
      <c r="A22" s="20" t="s">
        <v>184</v>
      </c>
      <c r="B22" s="21">
        <f>IF(A22="","",IFERROR(INDEX(Lançamentos!B:B,MATCH(A22,Lançamentos!G:G,0)),"—"))</f>
        <v>46206</v>
      </c>
      <c r="C22" s="22" t="str">
        <f>IF(A22="","",IFERROR(INDEX(Lançamentos!C:C,MATCH(A22,Lançamentos!G:G,0)),"—"))</f>
        <v>Outras Despesas</v>
      </c>
      <c r="D22" s="22" t="str">
        <f>IF(A22="","",IFERROR(INDEX(Lançamentos!D:D,MATCH(A22,Lançamentos!G:G,0)),"—"))</f>
        <v>Estuque e lixas</v>
      </c>
      <c r="E22" s="22" t="str">
        <f>IF(A22="","",IFERROR(INDEX(Lançamentos!E:E,MATCH(A22,Lançamentos!G:G,0)),"—"))</f>
        <v>M.N.A. SD. RAHMA</v>
      </c>
      <c r="F22" s="23">
        <f>IF(A22="","",IFERROR(INDEX(Lançamentos!F:F,MATCH(A22,Lançamentos!G:G,0)),"—"))</f>
        <v>0</v>
      </c>
      <c r="G22" s="20" t="s">
        <v>175</v>
      </c>
      <c r="H22" s="22" t="str">
        <f>IF(A22="","",A22&amp;"_"&amp;IFERROR(SUBSTITUTE(INDEX(Lançamentos!C:C,MATCH(A22,Lançamentos!G:G,0))," ","-"),"")&amp;"_"&amp;TEXT(IFERROR(INDEX(Lançamentos!B:B,MATCH(A22,Lançamentos!G:G,0)),""),"YYYY-MM-DD")&amp;".pdf")</f>
        <v>FAT-011_Outras-Despesas_2026-07-03.pdf</v>
      </c>
      <c r="I22" s="20"/>
      <c r="J22" s="24"/>
      <c r="K22" s="25"/>
      <c r="L22" s="26"/>
    </row>
    <row r="23" spans="1:12" ht="15" customHeight="1" x14ac:dyDescent="0.25">
      <c r="A23" s="20" t="s">
        <v>185</v>
      </c>
      <c r="B23" s="21">
        <f>IF(A23="","",IFERROR(INDEX(Lançamentos!B:B,MATCH(A23,Lançamentos!G:G,0)),"—"))</f>
        <v>46211</v>
      </c>
      <c r="C23" s="22" t="str">
        <f>IF(A23="","",IFERROR(INDEX(Lançamentos!C:C,MATCH(A23,Lançamentos!G:G,0)),"—"))</f>
        <v>Pintura Exterior</v>
      </c>
      <c r="D23" s="22" t="str">
        <f>IF(A23="","",IFERROR(INDEX(Lançamentos!D:D,MATCH(A23,Lançamentos!G:G,0)),"—"))</f>
        <v>Tintas e material de pintura</v>
      </c>
      <c r="E23" s="22" t="str">
        <f>IF(A23="","",IFERROR(INDEX(Lançamentos!E:E,MATCH(A23,Lançamentos!G:G,0)),"—"))</f>
        <v>Achour - Comércio Geral</v>
      </c>
      <c r="F23" s="27" t="str">
        <f>IF(A23="","",IFERROR(INDEX(Lançamentos!F:F,MATCH(A23,Lançamentos!G:G,0)),"—"))</f>
        <v>805</v>
      </c>
      <c r="G23" s="20" t="s">
        <v>175</v>
      </c>
      <c r="H23" s="22" t="str">
        <f>IF(A23="","",A23&amp;"_"&amp;IFERROR(SUBSTITUTE(INDEX(Lançamentos!C:C,MATCH(A23,Lançamentos!G:G,0))," ","-"),"")&amp;"_"&amp;TEXT(IFERROR(INDEX(Lançamentos!B:B,MATCH(A23,Lançamentos!G:G,0)),""),"YYYY-MM-DD")&amp;".pdf")</f>
        <v>FAT-012_Pintura-Exterior_2026-07-08.pdf</v>
      </c>
      <c r="I23" s="20"/>
      <c r="J23" s="24"/>
      <c r="K23" s="25"/>
      <c r="L23" s="26"/>
    </row>
    <row r="24" spans="1:12" ht="15" customHeight="1" x14ac:dyDescent="0.25">
      <c r="A24" s="20" t="s">
        <v>186</v>
      </c>
      <c r="B24" s="21">
        <f>IF(A24="","",IFERROR(INDEX(Lançamentos!B:B,MATCH(A24,Lançamentos!G:G,0)),"—"))</f>
        <v>46211</v>
      </c>
      <c r="C24" s="22" t="str">
        <f>IF(A24="","",IFERROR(INDEX(Lançamentos!C:C,MATCH(A24,Lançamentos!G:G,0)),"—"))</f>
        <v>Publicidade Exterior</v>
      </c>
      <c r="D24" s="22" t="str">
        <f>IF(A24="","",IFERROR(INDEX(Lançamentos!D:D,MATCH(A24,Lançamentos!G:G,0)),"—"))</f>
        <v>Impressão lona pesada 300x900</v>
      </c>
      <c r="E24" s="22" t="str">
        <f>IF(A24="","",IFERROR(INDEX(Lançamentos!E:E,MATCH(A24,Lançamentos!G:G,0)),"—"))</f>
        <v>Gráfica TAMACO</v>
      </c>
      <c r="F24" s="27" t="str">
        <f>IF(A24="","",IFERROR(INDEX(Lançamentos!F:F,MATCH(A24,Lançamentos!G:G,0)),"—"))</f>
        <v>AFA7F84768594FCA</v>
      </c>
      <c r="G24" s="20" t="s">
        <v>175</v>
      </c>
      <c r="H24" s="22" t="str">
        <f>IF(A24="","",A24&amp;"_"&amp;IFERROR(SUBSTITUTE(INDEX(Lançamentos!C:C,MATCH(A24,Lançamentos!G:G,0))," ","-"),"")&amp;"_"&amp;TEXT(IFERROR(INDEX(Lançamentos!B:B,MATCH(A24,Lançamentos!G:G,0)),""),"YYYY-MM-DD")&amp;".pdf")</f>
        <v>FAT-013_Publicidade-Exterior_2026-07-08.pdf</v>
      </c>
      <c r="I24" s="20"/>
      <c r="J24" s="24"/>
      <c r="K24" s="25"/>
      <c r="L24" s="26"/>
    </row>
    <row r="25" spans="1:12" ht="15" customHeight="1" x14ac:dyDescent="0.25">
      <c r="A25" s="20" t="s">
        <v>187</v>
      </c>
      <c r="B25" s="21">
        <f>IF(A25="","",IFERROR(INDEX(Lançamentos!B:B,MATCH(A25,Lançamentos!G:G,0)),"—"))</f>
        <v>46214</v>
      </c>
      <c r="C25" s="22" t="str">
        <f>IF(A25="","",IFERROR(INDEX(Lançamentos!C:C,MATCH(A25,Lançamentos!G:G,0)),"—"))</f>
        <v>Panfletos / Publicidade</v>
      </c>
      <c r="D25" s="22" t="str">
        <f>IF(A25="","",IFERROR(INDEX(Lançamentos!D:D,MATCH(A25,Lançamentos!G:G,0)),"—"))</f>
        <v>Impressão 500 panfletos A5</v>
      </c>
      <c r="E25" s="22" t="str">
        <f>IF(A25="","",IFERROR(INDEX(Lançamentos!E:E,MATCH(A25,Lançamentos!G:G,0)),"—"))</f>
        <v>Gráfica TAMACO</v>
      </c>
      <c r="F25" s="23">
        <f>IF(A25="","",IFERROR(INDEX(Lançamentos!F:F,MATCH(A25,Lançamentos!G:G,0)),"—"))</f>
        <v>0</v>
      </c>
      <c r="G25" s="20" t="s">
        <v>175</v>
      </c>
      <c r="H25" s="22" t="str">
        <f>IF(A25="","",A25&amp;"_"&amp;IFERROR(SUBSTITUTE(INDEX(Lançamentos!C:C,MATCH(A25,Lançamentos!G:G,0))," ","-"),"")&amp;"_"&amp;TEXT(IFERROR(INDEX(Lançamentos!B:B,MATCH(A25,Lançamentos!G:G,0)),""),"YYYY-MM-DD")&amp;".pdf")</f>
        <v>FAT-014_Panfletos-/-Publicidade_2026-07-11.pdf</v>
      </c>
      <c r="I25" s="20"/>
      <c r="J25" s="24"/>
      <c r="K25" s="25"/>
      <c r="L25" s="26"/>
    </row>
    <row r="26" spans="1:12" ht="15" customHeight="1" x14ac:dyDescent="0.25">
      <c r="A26" s="20" t="s">
        <v>188</v>
      </c>
      <c r="B26" s="21">
        <f>IF(A26="","",IFERROR(INDEX(Lançamentos!B:B,MATCH(A26,Lançamentos!G:G,0)),"—"))</f>
        <v>46220</v>
      </c>
      <c r="C26" s="22" t="str">
        <f>IF(A26="","",IFERROR(INDEX(Lançamentos!C:C,MATCH(A26,Lançamentos!G:G,0)),"—"))</f>
        <v>Equipamentos</v>
      </c>
      <c r="D26" s="22" t="str">
        <f>IF(A26="","",IFERROR(INDEX(Lançamentos!D:D,MATCH(A26,Lançamentos!G:G,0)),"—"))</f>
        <v>8 lâmpadas fluorescentes + arrancadores</v>
      </c>
      <c r="E26" s="22" t="str">
        <f>IF(A26="","",IFERROR(INDEX(Lançamentos!E:E,MATCH(A26,Lançamentos!G:G,0)),"—"))</f>
        <v>DDH - Comércio Geral</v>
      </c>
      <c r="F26" s="27" t="str">
        <f>IF(A26="","",IFERROR(INDEX(Lançamentos!F:F,MATCH(A26,Lançamentos!G:G,0)),"—"))</f>
        <v>2441</v>
      </c>
      <c r="G26" s="20" t="s">
        <v>175</v>
      </c>
      <c r="H26" s="22" t="str">
        <f>IF(A26="","",A26&amp;"_"&amp;IFERROR(SUBSTITUTE(INDEX(Lançamentos!C:C,MATCH(A26,Lançamentos!G:G,0))," ","-"),"")&amp;"_"&amp;TEXT(IFERROR(INDEX(Lançamentos!B:B,MATCH(A26,Lançamentos!G:G,0)),""),"YYYY-MM-DD")&amp;".pdf")</f>
        <v>FAT-015_Equipamentos_2026-07-17.pdf</v>
      </c>
      <c r="I26" s="20"/>
      <c r="J26" s="24"/>
      <c r="K26" s="25"/>
      <c r="L26" s="26"/>
    </row>
    <row r="27" spans="1:12" ht="15" customHeight="1" x14ac:dyDescent="0.25">
      <c r="A27" s="20" t="s">
        <v>189</v>
      </c>
      <c r="B27" s="21">
        <f>IF(A27="","",IFERROR(INDEX(Lançamentos!B:B,MATCH(A27,Lançamentos!G:G,0)),"—"))</f>
        <v>46220</v>
      </c>
      <c r="C27" s="22" t="str">
        <f>IF(A27="","",IFERROR(INDEX(Lançamentos!C:C,MATCH(A27,Lançamentos!G:G,0)),"—"))</f>
        <v>Material Serralharia</v>
      </c>
      <c r="D27" s="22" t="str">
        <f>IF(A27="","",IFERROR(INDEX(Lançamentos!D:D,MATCH(A27,Lançamentos!G:G,0)),"—"))</f>
        <v>Material para serralharia</v>
      </c>
      <c r="E27" s="22" t="str">
        <f>IF(A27="","",IFERROR(INDEX(Lançamentos!E:E,MATCH(A27,Lançamentos!G:G,0)),"—"))</f>
        <v>DKJF</v>
      </c>
      <c r="F27" s="27" t="str">
        <f>IF(A27="","",IFERROR(INDEX(Lançamentos!F:F,MATCH(A27,Lançamentos!G:G,0)),"—"))</f>
        <v>´029</v>
      </c>
      <c r="G27" s="20" t="s">
        <v>175</v>
      </c>
      <c r="H27" s="22" t="str">
        <f>IF(A27="","",A27&amp;"_"&amp;IFERROR(SUBSTITUTE(INDEX(Lançamentos!C:C,MATCH(A27,Lançamentos!G:G,0))," ","-"),"")&amp;"_"&amp;TEXT(IFERROR(INDEX(Lançamentos!B:B,MATCH(A27,Lançamentos!G:G,0)),""),"YYYY-MM-DD")&amp;".pdf")</f>
        <v>FAT-016_Material-Serralharia_2026-07-17.pdf</v>
      </c>
      <c r="I27" s="20"/>
      <c r="J27" s="24"/>
      <c r="K27" s="25"/>
      <c r="L27" s="26"/>
    </row>
    <row r="28" spans="1:12" ht="15" customHeight="1" x14ac:dyDescent="0.25">
      <c r="A28" s="20" t="s">
        <v>190</v>
      </c>
      <c r="B28" s="21">
        <f>IF(A28="","",IFERROR(INDEX(Lançamentos!B:B,MATCH(A28,Lançamentos!G:G,0)),"—"))</f>
        <v>46221</v>
      </c>
      <c r="C28" s="22" t="str">
        <f>IF(A28="","",IFERROR(INDEX(Lançamentos!C:C,MATCH(A28,Lançamentos!G:G,0)),"—"))</f>
        <v>Equipamentos</v>
      </c>
      <c r="D28" s="22" t="str">
        <f>IF(A28="","",IFERROR(INDEX(Lançamentos!D:D,MATCH(A28,Lançamentos!G:G,0)),"—"))</f>
        <v>5 garrafões gasóleo 20L</v>
      </c>
      <c r="E28" s="22" t="str">
        <f>IF(A28="","",IFERROR(INDEX(Lançamentos!E:E,MATCH(A28,Lançamentos!G:G,0)),"—"))</f>
        <v>Sonangol Distribuidora</v>
      </c>
      <c r="F28" s="27" t="str">
        <f>IF(A28="","",IFERROR(INDEX(Lançamentos!F:F,MATCH(A28,Lançamentos!G:G,0)),"—"))</f>
        <v>FR 202655/21059</v>
      </c>
      <c r="G28" s="20" t="s">
        <v>175</v>
      </c>
      <c r="H28" s="22" t="str">
        <f>IF(A28="","",A28&amp;"_"&amp;IFERROR(SUBSTITUTE(INDEX(Lançamentos!C:C,MATCH(A28,Lançamentos!G:G,0))," ","-"),"")&amp;"_"&amp;TEXT(IFERROR(INDEX(Lançamentos!B:B,MATCH(A28,Lançamentos!G:G,0)),""),"YYYY-MM-DD")&amp;".pdf")</f>
        <v>FAT-017_Equipamentos_2026-07-18.pdf</v>
      </c>
      <c r="I28" s="20"/>
      <c r="J28" s="24"/>
      <c r="K28" s="25"/>
      <c r="L28" s="26"/>
    </row>
    <row r="29" spans="1:12" ht="15" customHeight="1" x14ac:dyDescent="0.25">
      <c r="A29" s="20" t="s">
        <v>191</v>
      </c>
      <c r="B29" s="21">
        <f>IF(A29="","",IFERROR(INDEX(Lançamentos!B:B,MATCH(A29,Lançamentos!G:G,0)),"—"))</f>
        <v>46222</v>
      </c>
      <c r="C29" s="22" t="str">
        <f>IF(A29="","",IFERROR(INDEX(Lançamentos!C:C,MATCH(A29,Lançamentos!G:G,0)),"—"))</f>
        <v>Publicidade Exterior</v>
      </c>
      <c r="D29" s="22" t="str">
        <f>IF(A29="","",IFERROR(INDEX(Lançamentos!D:D,MATCH(A29,Lançamentos!G:G,0)),"—"))</f>
        <v>Impressão vinil 150x350</v>
      </c>
      <c r="E29" s="22" t="str">
        <f>IF(A29="","",IFERROR(INDEX(Lançamentos!E:E,MATCH(A29,Lançamentos!G:G,0)),"—"))</f>
        <v>Gráfica TAMACO</v>
      </c>
      <c r="F29" s="27" t="str">
        <f>IF(A29="","",IFERROR(INDEX(Lançamentos!F:F,MATCH(A29,Lançamentos!G:G,0)),"—"))</f>
        <v>7101738663</v>
      </c>
      <c r="G29" s="20" t="s">
        <v>175</v>
      </c>
      <c r="H29" s="22" t="str">
        <f>IF(A29="","",A29&amp;"_"&amp;IFERROR(SUBSTITUTE(INDEX(Lançamentos!C:C,MATCH(A29,Lançamentos!G:G,0))," ","-"),"")&amp;"_"&amp;TEXT(IFERROR(INDEX(Lançamentos!B:B,MATCH(A29,Lançamentos!G:G,0)),""),"YYYY-MM-DD")&amp;".pdf")</f>
        <v>FAT-018_Publicidade-Exterior_2026-07-19.pdf</v>
      </c>
      <c r="I29" s="20"/>
      <c r="J29" s="24"/>
      <c r="K29" s="25"/>
      <c r="L29" s="26"/>
    </row>
    <row r="30" spans="1:12" ht="15" customHeight="1" x14ac:dyDescent="0.25">
      <c r="A30" s="20" t="s">
        <v>192</v>
      </c>
      <c r="B30" s="21">
        <f>IF(A30="","",IFERROR(INDEX(Lançamentos!B:B,MATCH(A30,Lançamentos!G:G,0)),"—"))</f>
        <v>46224</v>
      </c>
      <c r="C30" s="22" t="str">
        <f>IF(A30="","",IFERROR(INDEX(Lançamentos!C:C,MATCH(A30,Lançamentos!G:G,0)),"—"))</f>
        <v>Outras Despesas</v>
      </c>
      <c r="D30" s="22" t="str">
        <f>IF(A30="","",IFERROR(INDEX(Lançamentos!D:D,MATCH(A30,Lançamentos!G:G,0)),"—"))</f>
        <v>Corrente + cadeado grande</v>
      </c>
      <c r="E30" s="22" t="str">
        <f>IF(A30="","",IFERROR(INDEX(Lançamentos!E:E,MATCH(A30,Lançamentos!G:G,0)),"—"))</f>
        <v>Praça</v>
      </c>
      <c r="F30" s="27" t="str">
        <f>IF(A30="","",IFERROR(INDEX(Lançamentos!F:F,MATCH(A30,Lançamentos!G:G,0)),"—"))</f>
        <v>0279716</v>
      </c>
      <c r="G30" s="20" t="s">
        <v>175</v>
      </c>
      <c r="H30" s="22" t="str">
        <f>IF(A30="","",A30&amp;"_"&amp;IFERROR(SUBSTITUTE(INDEX(Lançamentos!C:C,MATCH(A30,Lançamentos!G:G,0))," ","-"),"")&amp;"_"&amp;TEXT(IFERROR(INDEX(Lançamentos!B:B,MATCH(A30,Lançamentos!G:G,0)),""),"YYYY-MM-DD")&amp;".pdf")</f>
        <v>FAT-019_Outras-Despesas_2026-07-21.pdf</v>
      </c>
      <c r="I30" s="20"/>
      <c r="J30" s="24"/>
      <c r="K30" s="25"/>
      <c r="L30" s="26"/>
    </row>
    <row r="31" spans="1:12" ht="15" customHeight="1" x14ac:dyDescent="0.25">
      <c r="A31" s="20" t="s">
        <v>193</v>
      </c>
      <c r="B31" s="21">
        <f>IF(A31="","",IFERROR(INDEX(Lançamentos!B:B,MATCH(A31,Lançamentos!G:G,0)),"—"))</f>
        <v>46225</v>
      </c>
      <c r="C31" s="22" t="str">
        <f>IF(A31="","",IFERROR(INDEX(Lançamentos!C:C,MATCH(A31,Lançamentos!G:G,0)),"—"))</f>
        <v>Equipamentos</v>
      </c>
      <c r="D31" s="22" t="str">
        <f>IF(A31="","",IFERROR(INDEX(Lançamentos!D:D,MATCH(A31,Lançamentos!G:G,0)),"—"))</f>
        <v>Material manutenção gerador</v>
      </c>
      <c r="E31" s="22" t="str">
        <f>IF(A31="","",IFERROR(INDEX(Lançamentos!E:E,MATCH(A31,Lançamentos!G:G,0)),"—"))</f>
        <v>Beledear Comércio Geral</v>
      </c>
      <c r="F31" s="27" t="str">
        <f>IF(A31="","",IFERROR(INDEX(Lançamentos!F:F,MATCH(A31,Lançamentos!G:G,0)),"—"))</f>
        <v>FT 2026/1862</v>
      </c>
      <c r="G31" s="20" t="s">
        <v>175</v>
      </c>
      <c r="H31" s="22" t="str">
        <f>IF(A31="","",A31&amp;"_"&amp;IFERROR(SUBSTITUTE(INDEX(Lançamentos!C:C,MATCH(A31,Lançamentos!G:G,0))," ","-"),"")&amp;"_"&amp;TEXT(IFERROR(INDEX(Lançamentos!B:B,MATCH(A31,Lançamentos!G:G,0)),""),"YYYY-MM-DD")&amp;".pdf")</f>
        <v>FAT-020_Equipamentos_2026-07-22.pdf</v>
      </c>
      <c r="I31" s="20"/>
      <c r="J31" s="24"/>
      <c r="K31" s="25"/>
      <c r="L31" s="26"/>
    </row>
    <row r="32" spans="1:12" ht="15" customHeight="1" x14ac:dyDescent="0.25">
      <c r="A32" s="20" t="s">
        <v>194</v>
      </c>
      <c r="B32" s="21">
        <f>IF(A32="","",IFERROR(INDEX(Lançamentos!B:B,MATCH(A32,Lançamentos!G:G,0)),"—"))</f>
        <v>46226</v>
      </c>
      <c r="C32" s="22" t="str">
        <f>IF(A32="","",IFERROR(INDEX(Lançamentos!C:C,MATCH(A32,Lançamentos!G:G,0)),"—"))</f>
        <v>Outras Despesas</v>
      </c>
      <c r="D32" s="22" t="str">
        <f>IF(A32="","",IFERROR(INDEX(Lançamentos!D:D,MATCH(A32,Lançamentos!G:G,0)),"—"))</f>
        <v>20m rede para sombra</v>
      </c>
      <c r="E32" s="22" t="str">
        <f>IF(A32="","",IFERROR(INDEX(Lançamentos!E:E,MATCH(A32,Lançamentos!G:G,0)),"—"))</f>
        <v>Comércio Geral - Imp. &amp; Exp.</v>
      </c>
      <c r="F32" s="27" t="str">
        <f>IF(A32="","",IFERROR(INDEX(Lançamentos!F:F,MATCH(A32,Lançamentos!G:G,0)),"—"))</f>
        <v>1254</v>
      </c>
      <c r="G32" s="20" t="s">
        <v>175</v>
      </c>
      <c r="H32" s="22" t="str">
        <f>IF(A32="","",A32&amp;"_"&amp;IFERROR(SUBSTITUTE(INDEX(Lançamentos!C:C,MATCH(A32,Lançamentos!G:G,0))," ","-"),"")&amp;"_"&amp;TEXT(IFERROR(INDEX(Lançamentos!B:B,MATCH(A32,Lançamentos!G:G,0)),""),"YYYY-MM-DD")&amp;".pdf")</f>
        <v>FAT-021_Outras-Despesas_2026-07-23.pdf</v>
      </c>
      <c r="I32" s="20"/>
      <c r="J32" s="24"/>
      <c r="K32" s="25"/>
      <c r="L32" s="26"/>
    </row>
    <row r="33" spans="1:12" ht="15" customHeight="1" x14ac:dyDescent="0.25">
      <c r="A33" s="20" t="s">
        <v>195</v>
      </c>
      <c r="B33" s="21">
        <f>IF(A33="","",IFERROR(INDEX(Lançamentos!B:B,MATCH(A33,Lançamentos!G:G,0)),"—"))</f>
        <v>46226</v>
      </c>
      <c r="C33" s="22" t="str">
        <f>IF(A33="","",IFERROR(INDEX(Lançamentos!C:C,MATCH(A33,Lançamentos!G:G,0)),"—"))</f>
        <v>Equipamentos</v>
      </c>
      <c r="D33" s="22" t="str">
        <f>IF(A33="","",IFERROR(INDEX(Lançamentos!D:D,MATCH(A33,Lançamentos!G:G,0)),"—"))</f>
        <v>Conserto bomba injetora gerador</v>
      </c>
      <c r="E33" s="22">
        <f>IF(A33="","",IFERROR(INDEX(Lançamentos!E:E,MATCH(A33,Lançamentos!G:G,0)),"—"))</f>
        <v>0</v>
      </c>
      <c r="F33" s="23">
        <f>IF(A33="","",IFERROR(INDEX(Lançamentos!F:F,MATCH(A33,Lançamentos!G:G,0)),"—"))</f>
        <v>0</v>
      </c>
      <c r="G33" s="20" t="s">
        <v>175</v>
      </c>
      <c r="H33" s="22" t="str">
        <f>IF(A33="","",A33&amp;"_"&amp;IFERROR(SUBSTITUTE(INDEX(Lançamentos!C:C,MATCH(A33,Lançamentos!G:G,0))," ","-"),"")&amp;"_"&amp;TEXT(IFERROR(INDEX(Lançamentos!B:B,MATCH(A33,Lançamentos!G:G,0)),""),"YYYY-MM-DD")&amp;".pdf")</f>
        <v>FAT-022_Equipamentos_2026-07-23.pdf</v>
      </c>
      <c r="I33" s="20"/>
      <c r="J33" s="24"/>
      <c r="K33" s="25"/>
      <c r="L33" s="26"/>
    </row>
    <row r="34" spans="1:12" ht="15" customHeight="1" x14ac:dyDescent="0.25">
      <c r="A34" s="20" t="s">
        <v>196</v>
      </c>
      <c r="B34" s="21">
        <f>IF(A34="","",IFERROR(INDEX(Lançamentos!B:B,MATCH(A34,Lançamentos!G:G,0)),"—"))</f>
        <v>46226</v>
      </c>
      <c r="C34" s="22" t="str">
        <f>IF(A34="","",IFERROR(INDEX(Lançamentos!C:C,MATCH(A34,Lançamentos!G:G,0)),"—"))</f>
        <v>Pintura Exterior</v>
      </c>
      <c r="D34" s="22" t="str">
        <f>IF(A34="","",IFERROR(INDEX(Lançamentos!D:D,MATCH(A34,Lançamentos!G:G,0)),"—"))</f>
        <v>3 baldes tinta Coelho amarelo</v>
      </c>
      <c r="E34" s="22" t="str">
        <f>IF(A34="","",IFERROR(INDEX(Lançamentos!E:E,MATCH(A34,Lançamentos!G:G,0)),"—"))</f>
        <v>Bouke Salem</v>
      </c>
      <c r="F34" s="27" t="str">
        <f>IF(A34="","",IFERROR(INDEX(Lançamentos!F:F,MATCH(A34,Lançamentos!G:G,0)),"—"))</f>
        <v>367</v>
      </c>
      <c r="G34" s="20" t="s">
        <v>175</v>
      </c>
      <c r="H34" s="22" t="str">
        <f>IF(A34="","",A34&amp;"_"&amp;IFERROR(SUBSTITUTE(INDEX(Lançamentos!C:C,MATCH(A34,Lançamentos!G:G,0))," ","-"),"")&amp;"_"&amp;TEXT(IFERROR(INDEX(Lançamentos!B:B,MATCH(A34,Lançamentos!G:G,0)),""),"YYYY-MM-DD")&amp;".pdf")</f>
        <v>FAT-023_Pintura-Exterior_2026-07-23.pdf</v>
      </c>
      <c r="I34" s="20"/>
      <c r="J34" s="24"/>
      <c r="K34" s="25"/>
      <c r="L34" s="26"/>
    </row>
    <row r="35" spans="1:12" ht="15" customHeight="1" x14ac:dyDescent="0.25">
      <c r="A35" s="20" t="s">
        <v>197</v>
      </c>
      <c r="B35" s="21">
        <f>IF(A35="","",IFERROR(INDEX(Lançamentos!B:B,MATCH(A35,Lançamentos!G:G,0)),"—"))</f>
        <v>46226</v>
      </c>
      <c r="C35" s="22" t="str">
        <f>IF(A35="","",IFERROR(INDEX(Lançamentos!C:C,MATCH(A35,Lançamentos!G:G,0)),"—"))</f>
        <v>Pintura Exterior</v>
      </c>
      <c r="D35" s="22" t="str">
        <f>IF(A35="","",IFERROR(INDEX(Lançamentos!D:D,MATCH(A35,Lançamentos!G:G,0)),"—"))</f>
        <v>Tintas de óleo para decoração exterior</v>
      </c>
      <c r="E35" s="22">
        <f>IF(A35="","",IFERROR(INDEX(Lançamentos!E:E,MATCH(A35,Lançamentos!G:G,0)),"—"))</f>
        <v>0</v>
      </c>
      <c r="F35" s="23">
        <f>IF(A35="","",IFERROR(INDEX(Lançamentos!F:F,MATCH(A35,Lançamentos!G:G,0)),"—"))</f>
        <v>0</v>
      </c>
      <c r="G35" s="20" t="s">
        <v>175</v>
      </c>
      <c r="H35" s="22" t="str">
        <f>IF(A35="","",A35&amp;"_"&amp;IFERROR(SUBSTITUTE(INDEX(Lançamentos!C:C,MATCH(A35,Lançamentos!G:G,0))," ","-"),"")&amp;"_"&amp;TEXT(IFERROR(INDEX(Lançamentos!B:B,MATCH(A35,Lançamentos!G:G,0)),""),"YYYY-MM-DD")&amp;".pdf")</f>
        <v>FAT-024_Pintura-Exterior_2026-07-23.pdf</v>
      </c>
      <c r="I35" s="20"/>
      <c r="J35" s="24"/>
      <c r="K35" s="25"/>
      <c r="L35" s="26"/>
    </row>
    <row r="36" spans="1:12" ht="15" customHeight="1" x14ac:dyDescent="0.25">
      <c r="A36" s="20" t="s">
        <v>198</v>
      </c>
      <c r="B36" s="21">
        <f>IF(A36="","",IFERROR(INDEX(Lançamentos!B:B,MATCH(A36,Lançamentos!G:G,0)),"—"))</f>
        <v>46226</v>
      </c>
      <c r="C36" s="22" t="str">
        <f>IF(A36="","",IFERROR(INDEX(Lançamentos!C:C,MATCH(A36,Lançamentos!G:G,0)),"—"))</f>
        <v>Transporte s/ Fatura</v>
      </c>
      <c r="D36" s="22" t="str">
        <f>IF(A36="","",IFERROR(INDEX(Lançamentos!D:D,MATCH(A36,Lançamentos!G:G,0)),"—"))</f>
        <v>Táxi funcionário (Pedro Pintor)</v>
      </c>
      <c r="E36" s="22">
        <f>IF(A36="","",IFERROR(INDEX(Lançamentos!E:E,MATCH(A36,Lançamentos!G:G,0)),"—"))</f>
        <v>0</v>
      </c>
      <c r="F36" s="23">
        <f>IF(A36="","",IFERROR(INDEX(Lançamentos!F:F,MATCH(A36,Lançamentos!G:G,0)),"—"))</f>
        <v>0</v>
      </c>
      <c r="G36" s="20" t="s">
        <v>175</v>
      </c>
      <c r="H36" s="22" t="str">
        <f>IF(A36="","",A36&amp;"_"&amp;IFERROR(SUBSTITUTE(INDEX(Lançamentos!C:C,MATCH(A36,Lançamentos!G:G,0))," ","-"),"")&amp;"_"&amp;TEXT(IFERROR(INDEX(Lançamentos!B:B,MATCH(A36,Lançamentos!G:G,0)),""),"YYYY-MM-DD")&amp;".pdf")</f>
        <v>FAT-025_Transporte-s/-Fatura_2026-07-23.pdf</v>
      </c>
      <c r="I36" s="20"/>
      <c r="J36" s="24"/>
      <c r="K36" s="25"/>
      <c r="L36" s="26"/>
    </row>
    <row r="37" spans="1:12" ht="15" customHeight="1" x14ac:dyDescent="0.25">
      <c r="A37" s="20" t="s">
        <v>199</v>
      </c>
      <c r="B37" s="21">
        <f>IF(A37="","",IFERROR(INDEX(Lançamentos!B:B,MATCH(A37,Lançamentos!G:G,0)),"—"))</f>
        <v>46226</v>
      </c>
      <c r="C37" s="22" t="str">
        <f>IF(A37="","",IFERROR(INDEX(Lançamentos!C:C,MATCH(A37,Lançamentos!G:G,0)),"—"))</f>
        <v>Transporte s/ Fatura</v>
      </c>
      <c r="D37" s="22" t="str">
        <f>IF(A37="","",IFERROR(INDEX(Lançamentos!D:D,MATCH(A37,Lançamentos!G:G,0)),"—"))</f>
        <v>Táxi funcionário (Ribeiro)</v>
      </c>
      <c r="E37" s="22">
        <f>IF(A37="","",IFERROR(INDEX(Lançamentos!E:E,MATCH(A37,Lançamentos!G:G,0)),"—"))</f>
        <v>0</v>
      </c>
      <c r="F37" s="23">
        <f>IF(A37="","",IFERROR(INDEX(Lançamentos!F:F,MATCH(A37,Lançamentos!G:G,0)),"—"))</f>
        <v>0</v>
      </c>
      <c r="G37" s="20" t="s">
        <v>175</v>
      </c>
      <c r="H37" s="22" t="str">
        <f>IF(A37="","",A37&amp;"_"&amp;IFERROR(SUBSTITUTE(INDEX(Lançamentos!C:C,MATCH(A37,Lançamentos!G:G,0))," ","-"),"")&amp;"_"&amp;TEXT(IFERROR(INDEX(Lançamentos!B:B,MATCH(A37,Lançamentos!G:G,0)),""),"YYYY-MM-DD")&amp;".pdf")</f>
        <v>FAT-026_Transporte-s/-Fatura_2026-07-23.pdf</v>
      </c>
      <c r="I37" s="20"/>
      <c r="J37" s="24"/>
      <c r="K37" s="25"/>
      <c r="L37" s="26"/>
    </row>
    <row r="38" spans="1:12" ht="15" customHeight="1" x14ac:dyDescent="0.25">
      <c r="A38" s="20" t="s">
        <v>200</v>
      </c>
      <c r="B38" s="21">
        <f>IF(A38="","",IFERROR(INDEX(Lançamentos!B:B,MATCH(A38,Lançamentos!G:G,0)),"—"))</f>
        <v>46226</v>
      </c>
      <c r="C38" s="22" t="str">
        <f>IF(A38="","",IFERROR(INDEX(Lançamentos!C:C,MATCH(A38,Lançamentos!G:G,0)),"—"))</f>
        <v>Publicidade Exterior</v>
      </c>
      <c r="D38" s="22" t="str">
        <f>IF(A38="","",IFERROR(INDEX(Lançamentos!D:D,MATCH(A38,Lançamentos!G:G,0)),"—"))</f>
        <v>Impressão 3 peças vinil exterior</v>
      </c>
      <c r="E38" s="22">
        <f>IF(A38="","",IFERROR(INDEX(Lançamentos!E:E,MATCH(A38,Lançamentos!G:G,0)),"—"))</f>
        <v>0</v>
      </c>
      <c r="F38" s="23">
        <f>IF(A38="","",IFERROR(INDEX(Lançamentos!F:F,MATCH(A38,Lançamentos!G:G,0)),"—"))</f>
        <v>0</v>
      </c>
      <c r="G38" s="20" t="s">
        <v>175</v>
      </c>
      <c r="H38" s="22" t="str">
        <f>IF(A38="","",A38&amp;"_"&amp;IFERROR(SUBSTITUTE(INDEX(Lançamentos!C:C,MATCH(A38,Lançamentos!G:G,0))," ","-"),"")&amp;"_"&amp;TEXT(IFERROR(INDEX(Lançamentos!B:B,MATCH(A38,Lançamentos!G:G,0)),""),"YYYY-MM-DD")&amp;".pdf")</f>
        <v>FAT-027_Publicidade-Exterior_2026-07-23.pdf</v>
      </c>
      <c r="I38" s="20"/>
      <c r="J38" s="24"/>
      <c r="K38" s="25"/>
      <c r="L38" s="26"/>
    </row>
    <row r="39" spans="1:12" ht="15" customHeight="1" x14ac:dyDescent="0.25">
      <c r="A39" s="20" t="s">
        <v>201</v>
      </c>
      <c r="B39" s="21">
        <f>IF(A39="","",IFERROR(INDEX(Lançamentos!B:B,MATCH(A39,Lançamentos!G:G,0)),"—"))</f>
        <v>46226</v>
      </c>
      <c r="C39" s="22" t="str">
        <f>IF(A39="","",IFERROR(INDEX(Lançamentos!C:C,MATCH(A39,Lançamentos!G:G,0)),"—"))</f>
        <v>Serralharia</v>
      </c>
      <c r="D39" s="22" t="str">
        <f>IF(A39="","",IFERROR(INDEX(Lançamentos!D:D,MATCH(A39,Lançamentos!G:G,0)),"—"))</f>
        <v>Mão de obra serralheiro</v>
      </c>
      <c r="E39" s="22">
        <f>IF(A39="","",IFERROR(INDEX(Lançamentos!E:E,MATCH(A39,Lançamentos!G:G,0)),"—"))</f>
        <v>0</v>
      </c>
      <c r="F39" s="23">
        <f>IF(A39="","",IFERROR(INDEX(Lançamentos!F:F,MATCH(A39,Lançamentos!G:G,0)),"—"))</f>
        <v>0</v>
      </c>
      <c r="G39" s="20" t="s">
        <v>175</v>
      </c>
      <c r="H39" s="22" t="str">
        <f>IF(A39="","",A39&amp;"_"&amp;IFERROR(SUBSTITUTE(INDEX(Lançamentos!C:C,MATCH(A39,Lançamentos!G:G,0))," ","-"),"")&amp;"_"&amp;TEXT(IFERROR(INDEX(Lançamentos!B:B,MATCH(A39,Lançamentos!G:G,0)),""),"YYYY-MM-DD")&amp;".pdf")</f>
        <v>FAT-028_Serralharia_2026-07-23.pdf</v>
      </c>
      <c r="I39" s="20"/>
      <c r="J39" s="24"/>
      <c r="K39" s="25"/>
      <c r="L39" s="26"/>
    </row>
    <row r="40" spans="1:12" ht="15" customHeight="1" x14ac:dyDescent="0.25">
      <c r="A40" s="20" t="s">
        <v>202</v>
      </c>
      <c r="B40" s="21">
        <f>IF(A40="","",IFERROR(INDEX(Lançamentos!B:B,MATCH(A40,Lançamentos!G:G,0)),"—"))</f>
        <v>46226</v>
      </c>
      <c r="C40" s="22" t="str">
        <f>IF(A40="","",IFERROR(INDEX(Lançamentos!C:C,MATCH(A40,Lançamentos!G:G,0)),"—"))</f>
        <v>Mão de Obra</v>
      </c>
      <c r="D40" s="22" t="str">
        <f>IF(A40="","",IFERROR(INDEX(Lançamentos!D:D,MATCH(A40,Lançamentos!G:G,0)),"—"))</f>
        <v>Mão de obra mecânico</v>
      </c>
      <c r="E40" s="22">
        <f>IF(A40="","",IFERROR(INDEX(Lançamentos!E:E,MATCH(A40,Lançamentos!G:G,0)),"—"))</f>
        <v>0</v>
      </c>
      <c r="F40" s="23">
        <f>IF(A40="","",IFERROR(INDEX(Lançamentos!F:F,MATCH(A40,Lançamentos!G:G,0)),"—"))</f>
        <v>0</v>
      </c>
      <c r="G40" s="20" t="s">
        <v>175</v>
      </c>
      <c r="H40" s="22" t="str">
        <f>IF(A40="","",A40&amp;"_"&amp;IFERROR(SUBSTITUTE(INDEX(Lançamentos!C:C,MATCH(A40,Lançamentos!G:G,0))," ","-"),"")&amp;"_"&amp;TEXT(IFERROR(INDEX(Lançamentos!B:B,MATCH(A40,Lançamentos!G:G,0)),""),"YYYY-MM-DD")&amp;".pdf")</f>
        <v>FAT-029_Mão-de-Obra_2026-07-23.pdf</v>
      </c>
      <c r="I40" s="20"/>
      <c r="J40" s="24"/>
      <c r="K40" s="25"/>
      <c r="L40" s="26"/>
    </row>
    <row r="41" spans="1:12" ht="15" customHeight="1" x14ac:dyDescent="0.25">
      <c r="A41" s="20" t="s">
        <v>203</v>
      </c>
      <c r="B41" s="21">
        <f>IF(A41="","",IFERROR(INDEX(Lançamentos!B:B,MATCH(A41,Lançamentos!G:G,0)),"—"))</f>
        <v>46227</v>
      </c>
      <c r="C41" s="22" t="str">
        <f>IF(A41="","",IFERROR(INDEX(Lançamentos!C:C,MATCH(A41,Lançamentos!G:G,0)),"—"))</f>
        <v>Serralharia</v>
      </c>
      <c r="D41" s="22" t="str">
        <f>IF(A41="","",IFERROR(INDEX(Lançamentos!D:D,MATCH(A41,Lançamentos!G:G,0)),"—"))</f>
        <v>Trabalhos de serralharia + transporte</v>
      </c>
      <c r="E41" s="22" t="str">
        <f>IF(A41="","",IFERROR(INDEX(Lançamentos!E:E,MATCH(A41,Lançamentos!G:G,0)),"—"))</f>
        <v>Serralheiro</v>
      </c>
      <c r="F41" s="23">
        <f>IF(A41="","",IFERROR(INDEX(Lançamentos!F:F,MATCH(A41,Lançamentos!G:G,0)),"—"))</f>
        <v>0</v>
      </c>
      <c r="G41" s="20" t="s">
        <v>175</v>
      </c>
      <c r="H41" s="22" t="str">
        <f>IF(A41="","",A41&amp;"_"&amp;IFERROR(SUBSTITUTE(INDEX(Lançamentos!C:C,MATCH(A41,Lançamentos!G:G,0))," ","-"),"")&amp;"_"&amp;TEXT(IFERROR(INDEX(Lançamentos!B:B,MATCH(A41,Lançamentos!G:G,0)),""),"YYYY-MM-DD")&amp;".pdf")</f>
        <v>FAT-030_Serralharia_2026-07-24.pdf</v>
      </c>
      <c r="I41" s="20"/>
      <c r="J41" s="24"/>
      <c r="K41" s="25"/>
      <c r="L41" s="26"/>
    </row>
    <row r="42" spans="1:12" ht="15" customHeight="1" x14ac:dyDescent="0.25">
      <c r="A42" s="20" t="s">
        <v>204</v>
      </c>
      <c r="B42" s="21">
        <f>IF(A42="","",IFERROR(INDEX(Lançamentos!B:B,MATCH(A42,Lançamentos!G:G,0)),"—"))</f>
        <v>46227</v>
      </c>
      <c r="C42" s="22" t="str">
        <f>IF(A42="","",IFERROR(INDEX(Lançamentos!C:C,MATCH(A42,Lançamentos!G:G,0)),"—"))</f>
        <v>Transporte s/ Fatura</v>
      </c>
      <c r="D42" s="22" t="str">
        <f>IF(A42="","",IFERROR(INDEX(Lançamentos!D:D,MATCH(A42,Lançamentos!G:G,0)),"—"))</f>
        <v>Táxi serralheiro</v>
      </c>
      <c r="E42" s="22" t="str">
        <f>IF(A42="","",IFERROR(INDEX(Lançamentos!E:E,MATCH(A42,Lançamentos!G:G,0)),"—"))</f>
        <v>Táxi</v>
      </c>
      <c r="F42" s="23">
        <f>IF(A42="","",IFERROR(INDEX(Lançamentos!F:F,MATCH(A42,Lançamentos!G:G,0)),"—"))</f>
        <v>0</v>
      </c>
      <c r="G42" s="20" t="s">
        <v>175</v>
      </c>
      <c r="H42" s="22" t="str">
        <f>IF(A42="","",A42&amp;"_"&amp;IFERROR(SUBSTITUTE(INDEX(Lançamentos!C:C,MATCH(A42,Lançamentos!G:G,0))," ","-"),"")&amp;"_"&amp;TEXT(IFERROR(INDEX(Lançamentos!B:B,MATCH(A42,Lançamentos!G:G,0)),""),"YYYY-MM-DD")&amp;".pdf")</f>
        <v>FAT-031_Transporte-s/-Fatura_2026-07-24.pdf</v>
      </c>
      <c r="I42" s="20"/>
      <c r="J42" s="24"/>
      <c r="K42" s="25"/>
      <c r="L42" s="26"/>
    </row>
    <row r="43" spans="1:12" ht="15" customHeight="1" x14ac:dyDescent="0.25">
      <c r="A43" s="20" t="s">
        <v>205</v>
      </c>
      <c r="B43" s="21">
        <f>IF(A43="","",IFERROR(INDEX(Lançamentos!B:B,MATCH(A43,Lançamentos!G:G,0)),"—"))</f>
        <v>46227</v>
      </c>
      <c r="C43" s="22" t="str">
        <f>IF(A43="","",IFERROR(INDEX(Lançamentos!C:C,MATCH(A43,Lançamentos!G:G,0)),"—"))</f>
        <v>Equipamentos</v>
      </c>
      <c r="D43" s="22" t="str">
        <f>IF(A43="","",IFERROR(INDEX(Lançamentos!D:D,MATCH(A43,Lançamentos!G:G,0)),"—"))</f>
        <v>Manutenção do gerador</v>
      </c>
      <c r="E43" s="22" t="str">
        <f>IF(A43="","",IFERROR(INDEX(Lançamentos!E:E,MATCH(A43,Lançamentos!G:G,0)),"—"))</f>
        <v>Técnico Gerador</v>
      </c>
      <c r="F43" s="23">
        <f>IF(A43="","",IFERROR(INDEX(Lançamentos!F:F,MATCH(A43,Lançamentos!G:G,0)),"—"))</f>
        <v>0</v>
      </c>
      <c r="G43" s="20" t="s">
        <v>175</v>
      </c>
      <c r="H43" s="22" t="str">
        <f>IF(A43="","",A43&amp;"_"&amp;IFERROR(SUBSTITUTE(INDEX(Lançamentos!C:C,MATCH(A43,Lançamentos!G:G,0))," ","-"),"")&amp;"_"&amp;TEXT(IFERROR(INDEX(Lançamentos!B:B,MATCH(A43,Lançamentos!G:G,0)),""),"YYYY-MM-DD")&amp;".pdf")</f>
        <v>FAT-032_Equipamentos_2026-07-24.pdf</v>
      </c>
      <c r="I43" s="20"/>
      <c r="J43" s="24"/>
      <c r="K43" s="25"/>
      <c r="L43" s="26"/>
    </row>
    <row r="44" spans="1:12" ht="15" customHeight="1" x14ac:dyDescent="0.25">
      <c r="A44" s="20" t="s">
        <v>206</v>
      </c>
      <c r="B44" s="21">
        <f>IF(A44="","",IFERROR(INDEX(Lançamentos!B:B,MATCH(A44,Lançamentos!G:G,0)),"—"))</f>
        <v>46228</v>
      </c>
      <c r="C44" s="22" t="str">
        <f>IF(A44="","",IFERROR(INDEX(Lançamentos!C:C,MATCH(A44,Lançamentos!G:G,0)),"—"))</f>
        <v>Outras Despesas</v>
      </c>
      <c r="D44" s="22" t="str">
        <f>IF(A44="","",IFERROR(INDEX(Lançamentos!D:D,MATCH(A44,Lançamentos!G:G,0)),"—"))</f>
        <v>20m rede para sombra</v>
      </c>
      <c r="E44" s="22">
        <f>IF(A44="","",IFERROR(INDEX(Lançamentos!E:E,MATCH(A44,Lançamentos!G:G,0)),"—"))</f>
        <v>0</v>
      </c>
      <c r="F44" s="23">
        <f>IF(A44="","",IFERROR(INDEX(Lançamentos!F:F,MATCH(A44,Lançamentos!G:G,0)),"—"))</f>
        <v>0</v>
      </c>
      <c r="G44" s="20" t="s">
        <v>175</v>
      </c>
      <c r="H44" s="22" t="str">
        <f>IF(A44="","",A44&amp;"_"&amp;IFERROR(SUBSTITUTE(INDEX(Lançamentos!C:C,MATCH(A44,Lançamentos!G:G,0))," ","-"),"")&amp;"_"&amp;TEXT(IFERROR(INDEX(Lançamentos!B:B,MATCH(A44,Lançamentos!G:G,0)),""),"YYYY-MM-DD")&amp;".pdf")</f>
        <v>FAT-033_Outras-Despesas_2026-07-25.pdf</v>
      </c>
      <c r="I44" s="20"/>
      <c r="J44" s="24"/>
      <c r="K44" s="25"/>
      <c r="L44" s="26"/>
    </row>
    <row r="45" spans="1:12" ht="15" customHeight="1" x14ac:dyDescent="0.25">
      <c r="A45" s="20" t="s">
        <v>207</v>
      </c>
      <c r="B45" s="21">
        <f>IF(A45="","",IFERROR(INDEX(Lançamentos!B:B,MATCH(A45,Lançamentos!G:G,0)),"—"))</f>
        <v>46228</v>
      </c>
      <c r="C45" s="22" t="str">
        <f>IF(A45="","",IFERROR(INDEX(Lançamentos!C:C,MATCH(A45,Lançamentos!G:G,0)),"—"))</f>
        <v>Pintura Exterior</v>
      </c>
      <c r="D45" s="22" t="str">
        <f>IF(A45="","",IFERROR(INDEX(Lançamentos!D:D,MATCH(A45,Lançamentos!G:G,0)),"—"))</f>
        <v>Tintas para decoração</v>
      </c>
      <c r="E45" s="22" t="str">
        <f>IF(A45="","",IFERROR(INDEX(Lançamentos!E:E,MATCH(A45,Lançamentos!G:G,0)),"—"))</f>
        <v>Novo Ango P.S.E.</v>
      </c>
      <c r="F45" s="27" t="str">
        <f>IF(A45="","",IFERROR(INDEX(Lançamentos!F:F,MATCH(A45,Lançamentos!G:G,0)),"—"))</f>
        <v>1038</v>
      </c>
      <c r="G45" s="20" t="s">
        <v>175</v>
      </c>
      <c r="H45" s="22" t="str">
        <f>IF(A45="","",A45&amp;"_"&amp;IFERROR(SUBSTITUTE(INDEX(Lançamentos!C:C,MATCH(A45,Lançamentos!G:G,0))," ","-"),"")&amp;"_"&amp;TEXT(IFERROR(INDEX(Lançamentos!B:B,MATCH(A45,Lançamentos!G:G,0)),""),"YYYY-MM-DD")&amp;".pdf")</f>
        <v>FAT-034_Pintura-Exterior_2026-07-25.pdf</v>
      </c>
      <c r="I45" s="20"/>
      <c r="J45" s="24"/>
      <c r="K45" s="25"/>
      <c r="L45" s="26"/>
    </row>
    <row r="46" spans="1:12" ht="15" customHeight="1" x14ac:dyDescent="0.25">
      <c r="A46" s="20" t="s">
        <v>208</v>
      </c>
      <c r="B46" s="21">
        <f>IF(A46="","",IFERROR(INDEX(Lançamentos!B:B,MATCH(A46,Lançamentos!G:G,0)),"—"))</f>
        <v>46228</v>
      </c>
      <c r="C46" s="22" t="str">
        <f>IF(A46="","",IFERROR(INDEX(Lançamentos!C:C,MATCH(A46,Lançamentos!G:G,0)),"—"))</f>
        <v>Pintura Exterior</v>
      </c>
      <c r="D46" s="22" t="str">
        <f>IF(A46="","",IFERROR(INDEX(Lançamentos!D:D,MATCH(A46,Lançamentos!G:G,0)),"—"))</f>
        <v>Tinta para decoração</v>
      </c>
      <c r="E46" s="22" t="str">
        <f>IF(A46="","",IFERROR(INDEX(Lançamentos!E:E,MATCH(A46,Lançamentos!G:G,0)),"—"))</f>
        <v>Marpeluza</v>
      </c>
      <c r="F46" s="27" t="str">
        <f>IF(A46="","",IFERROR(INDEX(Lançamentos!F:F,MATCH(A46,Lançamentos!G:G,0)),"—"))</f>
        <v>73</v>
      </c>
      <c r="G46" s="20" t="s">
        <v>175</v>
      </c>
      <c r="H46" s="22" t="str">
        <f>IF(A46="","",A46&amp;"_"&amp;IFERROR(SUBSTITUTE(INDEX(Lançamentos!C:C,MATCH(A46,Lançamentos!G:G,0))," ","-"),"")&amp;"_"&amp;TEXT(IFERROR(INDEX(Lançamentos!B:B,MATCH(A46,Lançamentos!G:G,0)),""),"YYYY-MM-DD")&amp;".pdf")</f>
        <v>FAT-035_Pintura-Exterior_2026-07-25.pdf</v>
      </c>
      <c r="I46" s="20"/>
      <c r="J46" s="24"/>
      <c r="K46" s="25"/>
      <c r="L46" s="26"/>
    </row>
    <row r="47" spans="1:12" ht="15" customHeight="1" x14ac:dyDescent="0.25">
      <c r="A47" s="20" t="s">
        <v>209</v>
      </c>
      <c r="B47" s="21">
        <f>IF(A47="","",IFERROR(INDEX(Lançamentos!B:B,MATCH(A47,Lançamentos!G:G,0)),"—"))</f>
        <v>46229</v>
      </c>
      <c r="C47" s="22" t="str">
        <f>IF(A47="","",IFERROR(INDEX(Lançamentos!C:C,MATCH(A47,Lançamentos!G:G,0)),"—"))</f>
        <v>Material Serralharia</v>
      </c>
      <c r="D47" s="22" t="str">
        <f>IF(A47="","",IFERROR(INDEX(Lançamentos!D:D,MATCH(A47,Lançamentos!G:G,0)),"—"))</f>
        <v>Ferros e material serralharia</v>
      </c>
      <c r="E47" s="22" t="str">
        <f>IF(A47="","",IFERROR(INDEX(Lançamentos!E:E,MATCH(A47,Lançamentos!G:G,0)),"—"))</f>
        <v>Primedine - Com. Geral Lda</v>
      </c>
      <c r="F47" s="27" t="str">
        <f>IF(A47="","",IFERROR(INDEX(Lançamentos!F:F,MATCH(A47,Lançamentos!G:G,0)),"—"))</f>
        <v>29</v>
      </c>
      <c r="G47" s="20" t="s">
        <v>175</v>
      </c>
      <c r="H47" s="22" t="str">
        <f>IF(A47="","",A47&amp;"_"&amp;IFERROR(SUBSTITUTE(INDEX(Lançamentos!C:C,MATCH(A47,Lançamentos!G:G,0))," ","-"),"")&amp;"_"&amp;TEXT(IFERROR(INDEX(Lançamentos!B:B,MATCH(A47,Lançamentos!G:G,0)),""),"YYYY-MM-DD")&amp;".pdf")</f>
        <v>FAT-036_Material-Serralharia_2026-07-26.pdf</v>
      </c>
      <c r="I47" s="20"/>
      <c r="J47" s="24"/>
      <c r="K47" s="25"/>
      <c r="L47" s="26"/>
    </row>
    <row r="48" spans="1:12" ht="15" customHeight="1" x14ac:dyDescent="0.25">
      <c r="A48" s="20" t="s">
        <v>210</v>
      </c>
      <c r="B48" s="21">
        <f>IF(A48="","",IFERROR(INDEX(Lançamentos!B:B,MATCH(A48,Lançamentos!G:G,0)),"—"))</f>
        <v>46231</v>
      </c>
      <c r="C48" s="22" t="str">
        <f>IF(A48="","",IFERROR(INDEX(Lançamentos!C:C,MATCH(A48,Lançamentos!G:G,0)),"—"))</f>
        <v>Publicidade Exterior</v>
      </c>
      <c r="D48" s="22" t="str">
        <f>IF(A48="","",IFERROR(INDEX(Lançamentos!D:D,MATCH(A48,Lançamentos!G:G,0)),"—"))</f>
        <v>Impressão 2 lonas</v>
      </c>
      <c r="E48" s="22" t="str">
        <f>IF(A48="","",IFERROR(INDEX(Lançamentos!E:E,MATCH(A48,Lançamentos!G:G,0)),"—"))</f>
        <v>Gráfca Capuca</v>
      </c>
      <c r="F48" s="27" t="str">
        <f>IF(A48="","",IFERROR(INDEX(Lançamentos!F:F,MATCH(A48,Lançamentos!G:G,0)),"—"))</f>
        <v>255</v>
      </c>
      <c r="G48" s="20" t="s">
        <v>175</v>
      </c>
      <c r="H48" s="22" t="str">
        <f>IF(A48="","",A48&amp;"_"&amp;IFERROR(SUBSTITUTE(INDEX(Lançamentos!C:C,MATCH(A48,Lançamentos!G:G,0))," ","-"),"")&amp;"_"&amp;TEXT(IFERROR(INDEX(Lançamentos!B:B,MATCH(A48,Lançamentos!G:G,0)),""),"YYYY-MM-DD")&amp;".pdf")</f>
        <v>FAT-037_Publicidade-Exterior_2026-07-28.pdf</v>
      </c>
      <c r="I48" s="20"/>
      <c r="J48" s="24"/>
      <c r="K48" s="25"/>
      <c r="L48" s="26"/>
    </row>
    <row r="49" spans="1:12" ht="15" customHeight="1" x14ac:dyDescent="0.25">
      <c r="A49" s="20" t="s">
        <v>211</v>
      </c>
      <c r="B49" s="21">
        <f>IF(A49="","",IFERROR(INDEX(Lançamentos!B:B,MATCH(A49,Lançamentos!G:G,0)),"—"))</f>
        <v>46231</v>
      </c>
      <c r="C49" s="22" t="str">
        <f>IF(A49="","",IFERROR(INDEX(Lançamentos!C:C,MATCH(A49,Lançamentos!G:G,0)),"—"))</f>
        <v>Pintura Exterior</v>
      </c>
      <c r="D49" s="22" t="str">
        <f>IF(A49="","",IFERROR(INDEX(Lançamentos!D:D,MATCH(A49,Lançamentos!G:G,0)),"—"))</f>
        <v>Material para reparos e pintura</v>
      </c>
      <c r="E49" s="22" t="str">
        <f>IF(A49="","",IFERROR(INDEX(Lançamentos!E:E,MATCH(A49,Lançamentos!G:G,0)),"—"))</f>
        <v>YEHDIH</v>
      </c>
      <c r="F49" s="27" t="str">
        <f>IF(A49="","",IFERROR(INDEX(Lançamentos!F:F,MATCH(A49,Lançamentos!G:G,0)),"—"))</f>
        <v>´0981</v>
      </c>
      <c r="G49" s="20" t="s">
        <v>175</v>
      </c>
      <c r="H49" s="22" t="str">
        <f>IF(A49="","",A49&amp;"_"&amp;IFERROR(SUBSTITUTE(INDEX(Lançamentos!C:C,MATCH(A49,Lançamentos!G:G,0))," ","-"),"")&amp;"_"&amp;TEXT(IFERROR(INDEX(Lançamentos!B:B,MATCH(A49,Lançamentos!G:G,0)),""),"YYYY-MM-DD")&amp;".pdf")</f>
        <v>FAT-038_Pintura-Exterior_2026-07-28.pdf</v>
      </c>
      <c r="I49" s="20"/>
      <c r="J49" s="24"/>
      <c r="K49" s="25"/>
      <c r="L49" s="26"/>
    </row>
    <row r="50" spans="1:12" ht="15" customHeight="1" x14ac:dyDescent="0.25">
      <c r="A50" s="20" t="s">
        <v>212</v>
      </c>
      <c r="B50" s="21">
        <f>IF(A50="","",IFERROR(INDEX(Lançamentos!B:B,MATCH(A50,Lançamentos!G:G,0)),"—"))</f>
        <v>46233</v>
      </c>
      <c r="C50" s="22" t="str">
        <f>IF(A50="","",IFERROR(INDEX(Lançamentos!C:C,MATCH(A50,Lançamentos!G:G,0)),"—"))</f>
        <v>Serralharia</v>
      </c>
      <c r="D50" s="22" t="str">
        <f>IF(A50="","",IFERROR(INDEX(Lançamentos!D:D,MATCH(A50,Lançamentos!G:G,0)),"—"))</f>
        <v>Mão de obra serralheiro (trabalho 1)</v>
      </c>
      <c r="E50" s="22" t="str">
        <f>IF(A50="","",IFERROR(INDEX(Lançamentos!E:E,MATCH(A50,Lançamentos!G:G,0)),"—"))</f>
        <v>Organizações Bom Preço</v>
      </c>
      <c r="F50" s="27" t="str">
        <f>IF(A50="","",IFERROR(INDEX(Lançamentos!F:F,MATCH(A50,Lançamentos!G:G,0)),"—"))</f>
        <v>95</v>
      </c>
      <c r="G50" s="20" t="s">
        <v>175</v>
      </c>
      <c r="H50" s="22" t="str">
        <f>IF(A50="","",A50&amp;"_"&amp;IFERROR(SUBSTITUTE(INDEX(Lançamentos!C:C,MATCH(A50,Lançamentos!G:G,0))," ","-"),"")&amp;"_"&amp;TEXT(IFERROR(INDEX(Lançamentos!B:B,MATCH(A50,Lançamentos!G:G,0)),""),"YYYY-MM-DD")&amp;".pdf")</f>
        <v>FAT-039_Serralharia_2026-07-30.pdf</v>
      </c>
      <c r="I50" s="20"/>
      <c r="J50" s="24"/>
      <c r="K50" s="25"/>
      <c r="L50" s="26"/>
    </row>
    <row r="51" spans="1:12" ht="15" customHeight="1" x14ac:dyDescent="0.25">
      <c r="A51" s="20" t="s">
        <v>213</v>
      </c>
      <c r="B51" s="21">
        <f>IF(A51="","",IFERROR(INDEX(Lançamentos!B:B,MATCH(A51,Lançamentos!G:G,0)),"—"))</f>
        <v>46234</v>
      </c>
      <c r="C51" s="22" t="str">
        <f>IF(A51="","",IFERROR(INDEX(Lançamentos!C:C,MATCH(A51,Lançamentos!G:G,0)),"—"))</f>
        <v>Pintura Exterior</v>
      </c>
      <c r="D51" s="22" t="str">
        <f>IF(A51="","",IFERROR(INDEX(Lançamentos!D:D,MATCH(A51,Lançamentos!G:G,0)),"—"))</f>
        <v>Tintas e rolos pintura exterior</v>
      </c>
      <c r="E51" s="22" t="str">
        <f>IF(A51="","",IFERROR(INDEX(Lançamentos!E:E,MATCH(A51,Lançamentos!G:G,0)),"—"))</f>
        <v>Ana De Jesus Albino</v>
      </c>
      <c r="F51" s="23">
        <f>IF(A51="","",IFERROR(INDEX(Lançamentos!F:F,MATCH(A51,Lançamentos!G:G,0)),"—"))</f>
        <v>0</v>
      </c>
      <c r="G51" s="20" t="s">
        <v>175</v>
      </c>
      <c r="H51" s="22" t="str">
        <f>IF(A51="","",A51&amp;"_"&amp;IFERROR(SUBSTITUTE(INDEX(Lançamentos!C:C,MATCH(A51,Lançamentos!G:G,0))," ","-"),"")&amp;"_"&amp;TEXT(IFERROR(INDEX(Lançamentos!B:B,MATCH(A51,Lançamentos!G:G,0)),""),"YYYY-MM-DD")&amp;".pdf")</f>
        <v>FAT-040_Pintura-Exterior_2026-07-31.pdf</v>
      </c>
      <c r="I51" s="20"/>
      <c r="J51" s="24"/>
      <c r="K51" s="25"/>
      <c r="L51" s="26"/>
    </row>
    <row r="52" spans="1:12" ht="14.25" customHeight="1" x14ac:dyDescent="0.25">
      <c r="A52" s="20" t="s">
        <v>214</v>
      </c>
      <c r="B52" s="21">
        <f>IF(A52="","",IFERROR(INDEX(Lançamentos!B:B,MATCH(A52,Lançamentos!G:G,0)),"—"))</f>
        <v>46234</v>
      </c>
      <c r="C52" s="22" t="str">
        <f>IF(A52="","",IFERROR(INDEX(Lançamentos!C:C,MATCH(A52,Lançamentos!G:G,0)),"—"))</f>
        <v>Material de Escritório</v>
      </c>
      <c r="D52" s="22" t="str">
        <f>IF(A52="","",IFERROR(INDEX(Lançamentos!D:D,MATCH(A52,Lançamentos!G:G,0)),"—"))</f>
        <v>Material de escritório</v>
      </c>
      <c r="E52" s="22" t="str">
        <f>IF(A52="","",IFERROR(INDEX(Lançamentos!E:E,MATCH(A52,Lançamentos!G:G,0)),"—"))</f>
        <v>Kero</v>
      </c>
      <c r="F52" s="23" t="str">
        <f>IF(A52="","",IFERROR(INDEX(Lançamentos!F:F,MATCH(A52,Lançamentos!G:G,0)),"—"))</f>
        <v>FR8326S25932N/23890</v>
      </c>
      <c r="G52" s="20" t="s">
        <v>175</v>
      </c>
      <c r="H52" s="22" t="str">
        <f>IF(A52="","",A52&amp;"_"&amp;IFERROR(SUBSTITUTE(INDEX(Lançamentos!C:C,MATCH(A52,Lançamentos!G:G,0))," ","-"),"")&amp;"_"&amp;TEXT(IFERROR(INDEX(Lançamentos!B:B,MATCH(A52,Lançamentos!G:G,0)),""),"YYYY-MM-DD")&amp;".pdf")</f>
        <v>FAT-041_Material-de-Escritório_2026-07-31.pdf</v>
      </c>
      <c r="I52" s="20"/>
      <c r="J52" s="24"/>
      <c r="K52" s="25"/>
      <c r="L52" s="26"/>
    </row>
    <row r="53" spans="1:12" ht="14.25" customHeight="1" x14ac:dyDescent="0.25">
      <c r="A53" s="20" t="s">
        <v>215</v>
      </c>
      <c r="B53" s="21">
        <f>IF(A53="","",IFERROR(INDEX(Lançamentos!B:B,MATCH(A53,Lançamentos!G:G,0)),"—"))</f>
        <v>46234</v>
      </c>
      <c r="C53" s="22" t="str">
        <f>IF(A53="","",IFERROR(INDEX(Lançamentos!C:C,MATCH(A53,Lançamentos!G:G,0)),"—"))</f>
        <v>Pintura Exterior</v>
      </c>
      <c r="D53" s="22" t="str">
        <f>IF(A53="","",IFERROR(INDEX(Lançamentos!D:D,MATCH(A53,Lançamentos!G:G,0)),"—"))</f>
        <v>Tintas e material de pintura</v>
      </c>
      <c r="E53" s="22" t="str">
        <f>IF(A53="","",IFERROR(INDEX(Lançamentos!E:E,MATCH(A53,Lançamentos!G:G,0)),"—"))</f>
        <v>Novo Ango P.S.E.</v>
      </c>
      <c r="F53" s="23" t="str">
        <f>IF(A53="","",IFERROR(INDEX(Lançamentos!F:F,MATCH(A53,Lançamentos!G:G,0)),"—"))</f>
        <v>1039</v>
      </c>
      <c r="G53" s="20" t="s">
        <v>175</v>
      </c>
      <c r="H53" s="22" t="str">
        <f>IF(A53="","",A53&amp;"_"&amp;IFERROR(SUBSTITUTE(INDEX(Lançamentos!C:C,MATCH(A53,Lançamentos!G:G,0))," ","-"),"")&amp;"_"&amp;TEXT(IFERROR(INDEX(Lançamentos!B:B,MATCH(A53,Lançamentos!G:G,0)),""),"YYYY-MM-DD")&amp;".pdf")</f>
        <v>FAT-042_Pintura-Exterior_2026-07-31.pdf</v>
      </c>
      <c r="I53" s="20"/>
      <c r="J53" s="24"/>
      <c r="K53" s="25"/>
      <c r="L53" s="26"/>
    </row>
    <row r="54" spans="1:12" ht="15" customHeight="1" x14ac:dyDescent="0.25">
      <c r="A54" s="20" t="s">
        <v>216</v>
      </c>
      <c r="B54" s="21">
        <f>IF(A54="","",IFERROR(INDEX(Lançamentos!B:B,MATCH(A54,Lançamentos!G:G,0)),"—"))</f>
        <v>46234</v>
      </c>
      <c r="C54" s="22" t="str">
        <f>IF(A54="","",IFERROR(INDEX(Lançamentos!C:C,MATCH(A54,Lançamentos!G:G,0)),"—"))</f>
        <v>Limpeza / Higiene</v>
      </c>
      <c r="D54" s="22" t="str">
        <f>IF(A54="","",IFERROR(INDEX(Lançamentos!D:D,MATCH(A54,Lançamentos!G:G,0)),"—"))</f>
        <v>Material de limpeza</v>
      </c>
      <c r="E54" s="22" t="str">
        <f>IF(A54="","",IFERROR(INDEX(Lançamentos!E:E,MATCH(A54,Lançamentos!G:G,0)),"—"))</f>
        <v>Kero</v>
      </c>
      <c r="F54" s="23" t="str">
        <f>IF(A54="","",IFERROR(INDEX(Lançamentos!F:F,MATCH(A54,Lançamentos!G:G,0)),"—"))</f>
        <v>FR8326S25932N/23892</v>
      </c>
      <c r="G54" s="20" t="s">
        <v>175</v>
      </c>
      <c r="H54" s="22" t="str">
        <f>IF(A54="","",A54&amp;"_"&amp;IFERROR(SUBSTITUTE(INDEX(Lançamentos!C:C,MATCH(A54,Lançamentos!G:G,0))," ","-"),"")&amp;"_"&amp;TEXT(IFERROR(INDEX(Lançamentos!B:B,MATCH(A54,Lançamentos!G:G,0)),""),"YYYY-MM-DD")&amp;".pdf")</f>
        <v>FAT-043_Limpeza-/-Higiene_2026-07-31.pdf</v>
      </c>
      <c r="I54" s="20"/>
      <c r="J54" s="24"/>
      <c r="K54" s="25"/>
      <c r="L54" s="26"/>
    </row>
    <row r="55" spans="1:12" ht="19.5" customHeight="1" x14ac:dyDescent="0.25">
      <c r="A55" s="20" t="s">
        <v>217</v>
      </c>
      <c r="B55" s="21">
        <f>IF(A55="","",IFERROR(INDEX(Lançamentos!B:B,MATCH(A55,Lançamentos!G:G,0)),"—"))</f>
        <v>46235</v>
      </c>
      <c r="C55" s="22" t="str">
        <f>IF(A55="","",IFERROR(INDEX(Lançamentos!C:C,MATCH(A55,Lançamentos!G:G,0)),"—"))</f>
        <v>Serralharia</v>
      </c>
      <c r="D55" s="22" t="str">
        <f>IF(A55="","",IFERROR(INDEX(Lançamentos!D:D,MATCH(A55,Lançamentos!G:G,0)),"—"))</f>
        <v>Material para serralharia</v>
      </c>
      <c r="E55" s="22" t="str">
        <f>IF(A55="","",IFERROR(INDEX(Lançamentos!E:E,MATCH(A55,Lançamentos!G:G,0)),"—"))</f>
        <v>DKJF</v>
      </c>
      <c r="F55" s="23" t="str">
        <f>IF(A55="","",IFERROR(INDEX(Lançamentos!F:F,MATCH(A55,Lançamentos!G:G,0)),"—"))</f>
        <v>46</v>
      </c>
      <c r="G55" s="20" t="s">
        <v>175</v>
      </c>
      <c r="H55" s="22" t="str">
        <f>IF(A55="","",A55&amp;"_"&amp;IFERROR(SUBSTITUTE(INDEX(Lançamentos!C:C,MATCH(A55,Lançamentos!G:G,0))," ","-"),"")&amp;"_"&amp;TEXT(IFERROR(INDEX(Lançamentos!B:B,MATCH(A55,Lançamentos!G:G,0)),""),"YYYY-MM-DD")&amp;".pdf")</f>
        <v>FAT-044_Serralharia_2026-08-01.pdf</v>
      </c>
      <c r="I55" s="20"/>
      <c r="J55" s="24"/>
      <c r="K55" s="25"/>
      <c r="L55" s="26"/>
    </row>
    <row r="56" spans="1:12" ht="15" customHeight="1" x14ac:dyDescent="0.25">
      <c r="A56" s="20" t="s">
        <v>218</v>
      </c>
      <c r="B56" s="21">
        <f>IF(A56="","",IFERROR(INDEX(Lançamentos!B:B,MATCH(A56,Lançamentos!G:G,0)),"—"))</f>
        <v>46235</v>
      </c>
      <c r="C56" s="22" t="str">
        <f>IF(A56="","",IFERROR(INDEX(Lançamentos!C:C,MATCH(A56,Lançamentos!G:G,0)),"—"))</f>
        <v>Material Serralharia</v>
      </c>
      <c r="D56" s="22" t="str">
        <f>IF(A56="","",IFERROR(INDEX(Lançamentos!D:D,MATCH(A56,Lançamentos!G:G,0)),"—"))</f>
        <v>Eléctrodos e discos serralharia</v>
      </c>
      <c r="E56" s="22" t="str">
        <f>IF(A56="","",IFERROR(INDEX(Lançamentos!E:E,MATCH(A56,Lançamentos!G:G,0)),"—"))</f>
        <v>DKJF</v>
      </c>
      <c r="F56" s="23" t="str">
        <f>IF(A56="","",IFERROR(INDEX(Lançamentos!F:F,MATCH(A56,Lançamentos!G:G,0)),"—"))</f>
        <v>50</v>
      </c>
      <c r="G56" s="20" t="s">
        <v>175</v>
      </c>
      <c r="H56" s="22" t="str">
        <f>IF(A56="","",A56&amp;"_"&amp;IFERROR(SUBSTITUTE(INDEX(Lançamentos!C:C,MATCH(A56,Lançamentos!G:G,0))," ","-"),"")&amp;"_"&amp;TEXT(IFERROR(INDEX(Lançamentos!B:B,MATCH(A56,Lançamentos!G:G,0)),""),"YYYY-MM-DD")&amp;".pdf")</f>
        <v>FAT-045_Material-Serralharia_2026-08-01.pdf</v>
      </c>
      <c r="I56" s="20"/>
      <c r="J56" s="24"/>
      <c r="K56" s="25"/>
      <c r="L56" s="26"/>
    </row>
    <row r="57" spans="1:12" ht="15" customHeight="1" x14ac:dyDescent="0.25">
      <c r="A57" s="20" t="s">
        <v>219</v>
      </c>
      <c r="B57" s="21">
        <f>IF(A57="","",IFERROR(INDEX(Lançamentos!B:B,MATCH(A57,Lançamentos!G:G,0)),"—"))</f>
        <v>46237</v>
      </c>
      <c r="C57" s="22" t="str">
        <f>IF(A57="","",IFERROR(INDEX(Lançamentos!C:C,MATCH(A57,Lançamentos!G:G,0)),"—"))</f>
        <v>Serralharia</v>
      </c>
      <c r="D57" s="22" t="str">
        <f>IF(A57="","",IFERROR(INDEX(Lançamentos!D:D,MATCH(A57,Lançamentos!G:G,0)),"—"))</f>
        <v>Mão de obra serralheiro (trabalho 2)</v>
      </c>
      <c r="E57" s="22" t="str">
        <f>IF(A57="","",IFERROR(INDEX(Lançamentos!E:E,MATCH(A57,Lançamentos!G:G,0)),"—"))</f>
        <v>Organizações Bom Preço</v>
      </c>
      <c r="F57" s="23" t="str">
        <f>IF(A57="","",IFERROR(INDEX(Lançamentos!F:F,MATCH(A57,Lançamentos!G:G,0)),"—"))</f>
        <v>93</v>
      </c>
      <c r="G57" s="20" t="s">
        <v>175</v>
      </c>
      <c r="H57" s="22" t="str">
        <f>IF(A57="","",A57&amp;"_"&amp;IFERROR(SUBSTITUTE(INDEX(Lançamentos!C:C,MATCH(A57,Lançamentos!G:G,0))," ","-"),"")&amp;"_"&amp;TEXT(IFERROR(INDEX(Lançamentos!B:B,MATCH(A57,Lançamentos!G:G,0)),""),"YYYY-MM-DD")&amp;".pdf")</f>
        <v>FAT-046_Serralharia_2026-08-03.pdf</v>
      </c>
      <c r="I57" s="20"/>
      <c r="J57" s="24"/>
      <c r="K57" s="25"/>
      <c r="L57" s="26"/>
    </row>
    <row r="58" spans="1:12" ht="15" customHeight="1" x14ac:dyDescent="0.25">
      <c r="A58" s="20" t="s">
        <v>220</v>
      </c>
      <c r="B58" s="21">
        <f>IF(A58="","",IFERROR(INDEX(Lançamentos!B:B,MATCH(A58,Lançamentos!G:G,0)),"—"))</f>
        <v>46238</v>
      </c>
      <c r="C58" s="22" t="str">
        <f>IF(A58="","",IFERROR(INDEX(Lançamentos!C:C,MATCH(A58,Lançamentos!G:G,0)),"—"))</f>
        <v>Pintura Exterior</v>
      </c>
      <c r="D58" s="22" t="str">
        <f>IF(A58="","",IFERROR(INDEX(Lançamentos!D:D,MATCH(A58,Lançamentos!G:G,0)),"—"))</f>
        <v>Mão de obra de pintura</v>
      </c>
      <c r="E58" s="22" t="str">
        <f>IF(A58="","",IFERROR(INDEX(Lançamentos!E:E,MATCH(A58,Lançamentos!G:G,0)),"—"))</f>
        <v>Pintor</v>
      </c>
      <c r="F58" s="23">
        <f>IF(A58="","",IFERROR(INDEX(Lançamentos!F:F,MATCH(A58,Lançamentos!G:G,0)),"—"))</f>
        <v>0</v>
      </c>
      <c r="G58" s="20" t="s">
        <v>175</v>
      </c>
      <c r="H58" s="22" t="str">
        <f>IF(A58="","",A58&amp;"_"&amp;IFERROR(SUBSTITUTE(INDEX(Lançamentos!C:C,MATCH(A58,Lançamentos!G:G,0))," ","-"),"")&amp;"_"&amp;TEXT(IFERROR(INDEX(Lançamentos!B:B,MATCH(A58,Lançamentos!G:G,0)),""),"YYYY-MM-DD")&amp;".pdf")</f>
        <v>FAT-047_Pintura-Exterior_2026-08-04.pdf</v>
      </c>
      <c r="I58" s="20"/>
      <c r="J58" s="24"/>
      <c r="K58" s="25"/>
      <c r="L58" s="26"/>
    </row>
    <row r="59" spans="1:12" ht="14.25" customHeight="1" x14ac:dyDescent="0.25">
      <c r="A59" s="20" t="s">
        <v>221</v>
      </c>
      <c r="B59" s="21">
        <f>IF(A59="","",IFERROR(INDEX(Lançamentos!B:B,MATCH(A59,Lançamentos!G:G,0)),"—"))</f>
        <v>46238</v>
      </c>
      <c r="C59" s="22" t="str">
        <f>IF(A59="","",IFERROR(INDEX(Lançamentos!C:C,MATCH(A59,Lançamentos!G:G,0)),"—"))</f>
        <v>Pintura Exterior</v>
      </c>
      <c r="D59" s="22" t="str">
        <f>IF(A59="","",IFERROR(INDEX(Lançamentos!D:D,MATCH(A59,Lançamentos!G:G,0)),"—"))</f>
        <v>2 baldes tinta branca 20L + táxi</v>
      </c>
      <c r="E59" s="22" t="str">
        <f>IF(A59="","",IFERROR(INDEX(Lançamentos!E:E,MATCH(A59,Lançamentos!G:G,0)),"—"))</f>
        <v>Pintor</v>
      </c>
      <c r="F59" s="23">
        <f>IF(A59="","",IFERROR(INDEX(Lançamentos!F:F,MATCH(A59,Lançamentos!G:G,0)),"—"))</f>
        <v>0</v>
      </c>
      <c r="G59" s="20" t="s">
        <v>175</v>
      </c>
      <c r="H59" s="22" t="str">
        <f>IF(A59="","",A59&amp;"_"&amp;IFERROR(SUBSTITUTE(INDEX(Lançamentos!C:C,MATCH(A59,Lançamentos!G:G,0))," ","-"),"")&amp;"_"&amp;TEXT(IFERROR(INDEX(Lançamentos!B:B,MATCH(A59,Lançamentos!G:G,0)),""),"YYYY-MM-DD")&amp;".pdf")</f>
        <v>FAT-048_Pintura-Exterior_2026-08-04.pdf</v>
      </c>
      <c r="I59" s="20"/>
      <c r="J59" s="24"/>
      <c r="K59" s="25"/>
      <c r="L59" s="26"/>
    </row>
    <row r="60" spans="1:12" ht="14.25" customHeight="1" x14ac:dyDescent="0.25">
      <c r="A60" s="20" t="s">
        <v>222</v>
      </c>
      <c r="B60" s="21">
        <f>IF(A60="","",IFERROR(INDEX(Lançamentos!B:B,MATCH(A60,Lançamentos!G:G,0)),"—"))</f>
        <v>46238</v>
      </c>
      <c r="C60" s="22" t="str">
        <f>IF(A60="","",IFERROR(INDEX(Lançamentos!C:C,MATCH(A60,Lançamentos!G:G,0)),"—"))</f>
        <v>Pintura Exterior</v>
      </c>
      <c r="D60" s="22" t="str">
        <f>IF(A60="","",IFERROR(INDEX(Lançamentos!D:D,MATCH(A60,Lançamentos!G:G,0)),"—"))</f>
        <v>Tintas e rolos pintura exterior</v>
      </c>
      <c r="E60" s="22" t="str">
        <f>IF(A60="","",IFERROR(INDEX(Lançamentos!E:E,MATCH(A60,Lançamentos!G:G,0)),"—"))</f>
        <v>Novo Ango P.S.E.</v>
      </c>
      <c r="F60" s="23" t="str">
        <f>IF(A60="","",IFERROR(INDEX(Lançamentos!F:F,MATCH(A60,Lançamentos!G:G,0)),"—"))</f>
        <v>1040</v>
      </c>
      <c r="G60" s="20" t="s">
        <v>175</v>
      </c>
      <c r="H60" s="22" t="str">
        <f>IF(A60="","",A60&amp;"_"&amp;IFERROR(SUBSTITUTE(INDEX(Lançamentos!C:C,MATCH(A60,Lançamentos!G:G,0))," ","-"),"")&amp;"_"&amp;TEXT(IFERROR(INDEX(Lançamentos!B:B,MATCH(A60,Lançamentos!G:G,0)),""),"YYYY-MM-DD")&amp;".pdf")</f>
        <v>FAT-049_Pintura-Exterior_2026-08-04.pdf</v>
      </c>
      <c r="I60" s="20"/>
      <c r="J60" s="24"/>
      <c r="K60" s="25"/>
      <c r="L60" s="26"/>
    </row>
    <row r="61" spans="1:12" ht="14.25" customHeight="1" x14ac:dyDescent="0.25">
      <c r="A61" s="20" t="s">
        <v>223</v>
      </c>
      <c r="B61" s="21">
        <f>IF(A61="","",IFERROR(INDEX(Lançamentos!B:B,MATCH(A61,Lançamentos!G:G,0)),"—"))</f>
        <v>46240</v>
      </c>
      <c r="C61" s="22" t="str">
        <f>IF(A61="","",IFERROR(INDEX(Lançamentos!C:C,MATCH(A61,Lançamentos!G:G,0)),"—"))</f>
        <v>Panfletos / Publicidade</v>
      </c>
      <c r="D61" s="22" t="str">
        <f>IF(A61="","",IFERROR(INDEX(Lançamentos!D:D,MATCH(A61,Lançamentos!G:G,0)),"—"))</f>
        <v>Impressão 500 panfletos A5</v>
      </c>
      <c r="E61" s="22" t="str">
        <f>IF(A61="","",IFERROR(INDEX(Lançamentos!E:E,MATCH(A61,Lançamentos!G:G,0)),"—"))</f>
        <v>Gráfica TAMACO</v>
      </c>
      <c r="F61" s="23" t="str">
        <f>IF(A61="","",IFERROR(INDEX(Lançamentos!F:F,MATCH(A61,Lançamentos!G:G,0)),"—"))</f>
        <v>98D9EF0E92DDC968A0000006900200</v>
      </c>
      <c r="G61" s="20" t="s">
        <v>175</v>
      </c>
      <c r="H61" s="22" t="str">
        <f>IF(A61="","",A61&amp;"_"&amp;IFERROR(SUBSTITUTE(INDEX(Lançamentos!C:C,MATCH(A61,Lançamentos!G:G,0))," ","-"),"")&amp;"_"&amp;TEXT(IFERROR(INDEX(Lançamentos!B:B,MATCH(A61,Lançamentos!G:G,0)),""),"YYYY-MM-DD")&amp;".pdf")</f>
        <v>FAT-050_Panfletos-/-Publicidade_2026-08-06.pdf</v>
      </c>
      <c r="I61" s="20"/>
      <c r="J61" s="24"/>
      <c r="K61" s="25"/>
      <c r="L61" s="26"/>
    </row>
    <row r="62" spans="1:12" ht="14.25" customHeight="1" x14ac:dyDescent="0.25">
      <c r="A62" s="20" t="s">
        <v>224</v>
      </c>
      <c r="B62" s="21">
        <f>IF(A62="","",IFERROR(INDEX(Lançamentos!B:B,MATCH(A62,Lançamentos!G:G,0)),"—"))</f>
        <v>46240</v>
      </c>
      <c r="C62" s="22" t="str">
        <f>IF(A62="","",IFERROR(INDEX(Lançamentos!C:C,MATCH(A62,Lançamentos!G:G,0)),"—"))</f>
        <v>Salários</v>
      </c>
      <c r="D62" s="22" t="str">
        <f>IF(A62="","",IFERROR(INDEX(Lançamentos!D:D,MATCH(A62,Lançamentos!G:G,0)),"—"))</f>
        <v>Pagamento de 2 salários de Julho/26</v>
      </c>
      <c r="E62" s="22" t="str">
        <f>IF(A62="","",IFERROR(INDEX(Lançamentos!E:E,MATCH(A62,Lançamentos!G:G,0)),"—"))</f>
        <v>Teresa, Adelaide</v>
      </c>
      <c r="F62" s="23" t="str">
        <f>IF(A62="","",IFERROR(INDEX(Lançamentos!F:F,MATCH(A62,Lançamentos!G:G,0)),"—"))</f>
        <v>N/A</v>
      </c>
      <c r="G62" s="20" t="s">
        <v>175</v>
      </c>
      <c r="H62" s="22" t="str">
        <f>IF(A62="","",A62&amp;"_"&amp;IFERROR(SUBSTITUTE(INDEX(Lançamentos!C:C,MATCH(A62,Lançamentos!G:G,0))," ","-"),"")&amp;"_"&amp;TEXT(IFERROR(INDEX(Lançamentos!B:B,MATCH(A62,Lançamentos!G:G,0)),""),"YYYY-MM-DD")&amp;".pdf")</f>
        <v>FAT-051_Salários_2026-08-06.pdf</v>
      </c>
      <c r="I62" s="20"/>
      <c r="J62" s="24"/>
      <c r="K62" s="25"/>
      <c r="L62" s="26"/>
    </row>
    <row r="63" spans="1:12" ht="14.25" customHeight="1" x14ac:dyDescent="0.25">
      <c r="A63" s="20" t="s">
        <v>225</v>
      </c>
      <c r="B63" s="21">
        <f>IF(A63="","",IFERROR(INDEX(Lançamentos!B:B,MATCH(A63,Lançamentos!G:G,0)),"—"))</f>
        <v>46247</v>
      </c>
      <c r="C63" s="22" t="str">
        <f>IF(A63="","",IFERROR(INDEX(Lançamentos!C:C,MATCH(A63,Lançamentos!G:G,0)),"—"))</f>
        <v>Despesas de Representação</v>
      </c>
      <c r="D63" s="22" t="str">
        <f>IF(A63="","",IFERROR(INDEX(Lançamentos!D:D,MATCH(A63,Lançamentos!G:G,0)),"—"))</f>
        <v>Almoço de negócio para o colégio</v>
      </c>
      <c r="E63" s="22" t="str">
        <f>IF(A63="","",IFERROR(INDEX(Lançamentos!E:E,MATCH(A63,Lançamentos!G:G,0)),"—"))</f>
        <v>Restaurante Convés</v>
      </c>
      <c r="F63" s="23" t="str">
        <f>IF(A63="","",IFERROR(INDEX(Lançamentos!F:F,MATCH(A63,Lançamentos!G:G,0)),"—"))</f>
        <v>FR 22026/28686</v>
      </c>
      <c r="G63" s="20" t="s">
        <v>175</v>
      </c>
      <c r="H63" s="22" t="str">
        <f>IF(A63="","",A63&amp;"_"&amp;IFERROR(SUBSTITUTE(INDEX(Lançamentos!C:C,MATCH(A63,Lançamentos!G:G,0))," ","-"),"")&amp;"_"&amp;TEXT(IFERROR(INDEX(Lançamentos!B:B,MATCH(A63,Lançamentos!G:G,0)),""),"YYYY-MM-DD")&amp;".pdf")</f>
        <v>FAT-052_Despesas-de-Representação_2026-08-13.pdf</v>
      </c>
      <c r="I63" s="20"/>
      <c r="J63" s="24"/>
      <c r="K63" s="25"/>
      <c r="L63" s="26"/>
    </row>
    <row r="64" spans="1:12" ht="14.25" customHeight="1" x14ac:dyDescent="0.25">
      <c r="A64" s="20"/>
      <c r="B64" s="21"/>
      <c r="C64" s="22"/>
      <c r="D64" s="22"/>
      <c r="E64" s="22"/>
      <c r="F64" s="23"/>
      <c r="G64" s="20"/>
      <c r="H64" s="22"/>
      <c r="I64" s="20"/>
      <c r="J64" s="24"/>
      <c r="K64" s="25"/>
      <c r="L64" s="26"/>
    </row>
    <row r="65" spans="1:12" ht="14.25" customHeight="1" x14ac:dyDescent="0.25">
      <c r="A65" s="20"/>
      <c r="B65" s="21"/>
      <c r="C65" s="22"/>
      <c r="D65" s="22"/>
      <c r="E65" s="22"/>
      <c r="F65" s="23"/>
      <c r="G65" s="20"/>
      <c r="H65" s="22"/>
      <c r="I65" s="20"/>
      <c r="J65" s="24"/>
      <c r="K65" s="25"/>
      <c r="L65" s="26"/>
    </row>
    <row r="66" spans="1:12" ht="14.25" customHeight="1" x14ac:dyDescent="0.25">
      <c r="A66" s="20"/>
      <c r="B66" s="21"/>
      <c r="C66" s="22"/>
      <c r="D66" s="22"/>
      <c r="E66" s="22"/>
      <c r="F66" s="23"/>
      <c r="G66" s="20"/>
      <c r="H66" s="22"/>
      <c r="I66" s="20"/>
      <c r="J66" s="24"/>
      <c r="K66" s="25"/>
      <c r="L66" s="26"/>
    </row>
    <row r="67" spans="1:12" ht="14.25" customHeight="1" x14ac:dyDescent="0.25">
      <c r="A67" s="20"/>
      <c r="B67" s="21"/>
      <c r="C67" s="22"/>
      <c r="D67" s="22"/>
      <c r="E67" s="22"/>
      <c r="F67" s="23"/>
      <c r="G67" s="20"/>
      <c r="H67" s="22"/>
      <c r="I67" s="20"/>
      <c r="J67" s="24"/>
      <c r="K67" s="25"/>
      <c r="L67" s="26"/>
    </row>
    <row r="68" spans="1:12" ht="14.25" customHeight="1" x14ac:dyDescent="0.25">
      <c r="A68" s="20"/>
      <c r="B68" s="21"/>
      <c r="C68" s="22"/>
      <c r="D68" s="22"/>
      <c r="E68" s="22"/>
      <c r="F68" s="23"/>
      <c r="G68" s="20"/>
      <c r="H68" s="22"/>
      <c r="I68" s="20"/>
      <c r="J68" s="24"/>
      <c r="K68" s="25"/>
      <c r="L68" s="26"/>
    </row>
    <row r="69" spans="1:12" ht="14.25" customHeight="1" x14ac:dyDescent="0.25">
      <c r="A69" s="20"/>
      <c r="B69" s="21"/>
      <c r="C69" s="22"/>
      <c r="D69" s="22"/>
      <c r="E69" s="22"/>
      <c r="F69" s="23"/>
      <c r="G69" s="20"/>
      <c r="H69" s="22"/>
      <c r="I69" s="20"/>
      <c r="J69" s="24"/>
      <c r="K69" s="25"/>
      <c r="L69" s="26"/>
    </row>
    <row r="70" spans="1:12" ht="14.25" customHeight="1" x14ac:dyDescent="0.25">
      <c r="A70" s="20"/>
      <c r="B70" s="21"/>
      <c r="C70" s="22"/>
      <c r="D70" s="22"/>
      <c r="E70" s="22"/>
      <c r="F70" s="23"/>
      <c r="G70" s="20"/>
      <c r="H70" s="22"/>
      <c r="I70" s="20"/>
      <c r="J70" s="24"/>
      <c r="K70" s="25"/>
      <c r="L70" s="26"/>
    </row>
    <row r="71" spans="1:12" ht="14.25" customHeight="1" x14ac:dyDescent="0.25">
      <c r="A71" s="20"/>
      <c r="B71" s="21"/>
      <c r="C71" s="22"/>
      <c r="D71" s="22"/>
      <c r="E71" s="22"/>
      <c r="F71" s="23"/>
      <c r="G71" s="20"/>
      <c r="H71" s="22"/>
      <c r="I71" s="20"/>
      <c r="J71" s="24"/>
      <c r="K71" s="25"/>
      <c r="L71" s="26"/>
    </row>
    <row r="72" spans="1:12" ht="14.25" customHeight="1" x14ac:dyDescent="0.25">
      <c r="A72" s="20"/>
      <c r="B72" s="21"/>
      <c r="C72" s="22"/>
      <c r="D72" s="22"/>
      <c r="E72" s="22"/>
      <c r="F72" s="23"/>
      <c r="G72" s="20"/>
      <c r="H72" s="22"/>
      <c r="I72" s="20"/>
      <c r="J72" s="24"/>
      <c r="K72" s="25"/>
      <c r="L72" s="26"/>
    </row>
    <row r="73" spans="1:12" ht="14.25" customHeight="1" x14ac:dyDescent="0.25">
      <c r="A73" s="20"/>
      <c r="B73" s="21"/>
      <c r="C73" s="22"/>
      <c r="D73" s="22"/>
      <c r="E73" s="22"/>
      <c r="F73" s="23"/>
      <c r="G73" s="20"/>
      <c r="H73" s="22"/>
      <c r="I73" s="20"/>
      <c r="J73" s="24"/>
      <c r="K73" s="25"/>
      <c r="L73" s="26"/>
    </row>
    <row r="74" spans="1:12" ht="14.25" customHeight="1" x14ac:dyDescent="0.25">
      <c r="A74" s="20"/>
      <c r="B74" s="21"/>
      <c r="C74" s="22"/>
      <c r="D74" s="22"/>
      <c r="E74" s="22"/>
      <c r="F74" s="23"/>
      <c r="G74" s="20"/>
      <c r="H74" s="22"/>
      <c r="I74" s="20"/>
      <c r="J74" s="24"/>
      <c r="K74" s="25"/>
      <c r="L74" s="26"/>
    </row>
    <row r="75" spans="1:12" ht="14.25" customHeight="1" x14ac:dyDescent="0.25">
      <c r="A75" s="20"/>
      <c r="B75" s="21"/>
      <c r="C75" s="22"/>
      <c r="D75" s="22"/>
      <c r="E75" s="22"/>
      <c r="F75" s="23"/>
      <c r="G75" s="20"/>
      <c r="H75" s="22"/>
      <c r="I75" s="20"/>
      <c r="J75" s="24"/>
      <c r="K75" s="25"/>
      <c r="L75" s="26"/>
    </row>
    <row r="76" spans="1:12" ht="14.25" customHeight="1" x14ac:dyDescent="0.25">
      <c r="A76" s="20"/>
      <c r="B76" s="21"/>
      <c r="C76" s="22"/>
      <c r="D76" s="22"/>
      <c r="E76" s="22"/>
      <c r="F76" s="23"/>
      <c r="G76" s="20"/>
      <c r="H76" s="22"/>
      <c r="I76" s="20"/>
      <c r="J76" s="24"/>
      <c r="K76" s="25"/>
      <c r="L76" s="26"/>
    </row>
    <row r="77" spans="1:12" ht="14.25" customHeight="1" x14ac:dyDescent="0.25">
      <c r="A77" s="20"/>
      <c r="B77" s="21"/>
      <c r="C77" s="22"/>
      <c r="D77" s="22"/>
      <c r="E77" s="22"/>
      <c r="F77" s="23"/>
      <c r="G77" s="20"/>
      <c r="H77" s="22"/>
      <c r="I77" s="20"/>
      <c r="J77" s="24"/>
      <c r="K77" s="25"/>
      <c r="L77" s="26"/>
    </row>
    <row r="78" spans="1:12" ht="14.25" customHeight="1" x14ac:dyDescent="0.25">
      <c r="A78" s="48" t="s">
        <v>226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4.25" customHeight="1" x14ac:dyDescent="0.25">
      <c r="A79" s="49" t="s">
        <v>227</v>
      </c>
      <c r="B79" s="49"/>
      <c r="C79" s="49"/>
      <c r="D79" s="49"/>
      <c r="E79" s="49"/>
      <c r="F79" s="49"/>
      <c r="G79" s="49"/>
      <c r="H79" s="49"/>
      <c r="I79" s="49"/>
      <c r="J79" s="49"/>
      <c r="K79" s="49"/>
      <c r="L79" s="49"/>
    </row>
    <row r="80" spans="1:12" ht="14.25" customHeight="1" x14ac:dyDescent="0.25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</row>
    <row r="81" spans="1:12" ht="14.25" customHeight="1" x14ac:dyDescent="0.25">
      <c r="A81" s="49"/>
      <c r="B81" s="49"/>
      <c r="C81" s="49"/>
      <c r="D81" s="49"/>
      <c r="E81" s="49"/>
      <c r="F81" s="49"/>
      <c r="G81" s="49"/>
      <c r="H81" s="49"/>
      <c r="I81" s="49"/>
      <c r="J81" s="49"/>
      <c r="K81" s="49"/>
      <c r="L81" s="49"/>
    </row>
    <row r="82" spans="1:12" ht="14.25" customHeight="1" x14ac:dyDescent="0.25">
      <c r="A82" s="49"/>
      <c r="B82" s="49"/>
      <c r="C82" s="49"/>
      <c r="D82" s="49"/>
      <c r="E82" s="49"/>
      <c r="F82" s="49"/>
      <c r="G82" s="49"/>
      <c r="H82" s="49"/>
      <c r="I82" s="49"/>
      <c r="J82" s="49"/>
      <c r="K82" s="49"/>
      <c r="L82" s="49"/>
    </row>
    <row r="83" spans="1:12" ht="14.25" customHeight="1" x14ac:dyDescent="0.25">
      <c r="G83" s="29"/>
    </row>
    <row r="84" spans="1:12" ht="14.25" customHeight="1" x14ac:dyDescent="0.25">
      <c r="G84" s="29"/>
    </row>
    <row r="85" spans="1:12" ht="14.25" customHeight="1" x14ac:dyDescent="0.25">
      <c r="G85" s="29"/>
    </row>
    <row r="86" spans="1:12" ht="14.25" customHeight="1" x14ac:dyDescent="0.25">
      <c r="G86" s="29"/>
    </row>
    <row r="87" spans="1:12" ht="14.25" customHeight="1" x14ac:dyDescent="0.25">
      <c r="G87" s="29"/>
    </row>
    <row r="88" spans="1:12" ht="14.25" customHeight="1" x14ac:dyDescent="0.25">
      <c r="G88" s="29"/>
    </row>
    <row r="89" spans="1:12" ht="14.25" customHeight="1" x14ac:dyDescent="0.25">
      <c r="G89" s="29"/>
    </row>
    <row r="90" spans="1:12" ht="14.25" customHeight="1" x14ac:dyDescent="0.25">
      <c r="G90" s="29"/>
    </row>
    <row r="91" spans="1:12" ht="14.25" customHeight="1" x14ac:dyDescent="0.25">
      <c r="G91" s="29"/>
    </row>
    <row r="92" spans="1:12" ht="14.25" customHeight="1" x14ac:dyDescent="0.25">
      <c r="G92" s="29"/>
    </row>
    <row r="93" spans="1:12" ht="14.25" customHeight="1" x14ac:dyDescent="0.25">
      <c r="G93" s="29"/>
    </row>
    <row r="94" spans="1:12" ht="14.25" customHeight="1" x14ac:dyDescent="0.25">
      <c r="G94" s="29"/>
    </row>
    <row r="95" spans="1:12" ht="14.25" customHeight="1" x14ac:dyDescent="0.25">
      <c r="G95" s="29"/>
    </row>
    <row r="96" spans="1:12" ht="14.25" customHeight="1" x14ac:dyDescent="0.25">
      <c r="G96" s="29"/>
    </row>
    <row r="97" spans="7:7" ht="14.25" customHeight="1" x14ac:dyDescent="0.25">
      <c r="G97" s="29"/>
    </row>
    <row r="98" spans="7:7" ht="14.25" customHeight="1" x14ac:dyDescent="0.25">
      <c r="G98" s="29"/>
    </row>
    <row r="99" spans="7:7" ht="14.25" customHeight="1" x14ac:dyDescent="0.25">
      <c r="G99" s="29"/>
    </row>
    <row r="100" spans="7:7" ht="14.25" customHeight="1" x14ac:dyDescent="0.25">
      <c r="G100" s="29"/>
    </row>
  </sheetData>
  <mergeCells count="8">
    <mergeCell ref="A10:L10"/>
    <mergeCell ref="A78:L78"/>
    <mergeCell ref="A79:L82"/>
    <mergeCell ref="A1:L1"/>
    <mergeCell ref="A2:L2"/>
    <mergeCell ref="A3:L3"/>
    <mergeCell ref="A5:C5"/>
    <mergeCell ref="B9:D9"/>
  </mergeCells>
  <conditionalFormatting sqref="G12:G100">
    <cfRule type="expression" dxfId="1" priority="2">
      <formula>OR(G12="Não",G12="Pendente")</formula>
    </cfRule>
    <cfRule type="expression" dxfId="0" priority="3">
      <formula>G12="Sim"</formula>
    </cfRule>
  </conditionalFormatting>
  <dataValidations count="2">
    <dataValidation type="list" allowBlank="1" sqref="G12:G63 G69:G100" xr:uid="{00000000-0002-0000-0100-000000000000}">
      <formula1>"Sim,Não,Pendente"</formula1>
      <formula2>0</formula2>
    </dataValidation>
    <dataValidation type="list" allowBlank="1" sqref="I12:I63 I69:I100" xr:uid="{00000000-0002-0000-0100-000001000000}">
      <formula1>"PDF,JPG,PNG,JPEG,DOCX,XLSX,Outro"</formula1>
      <formula2>0</formula2>
    </dataValidation>
  </dataValidations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52"/>
  <sheetViews>
    <sheetView topLeftCell="A13" zoomScaleNormal="100" workbookViewId="0">
      <selection activeCell="A28" sqref="A28"/>
    </sheetView>
  </sheetViews>
  <sheetFormatPr defaultColWidth="8.7109375" defaultRowHeight="15" x14ac:dyDescent="0.25"/>
  <cols>
    <col min="1" max="1" width="48.7109375" style="1" customWidth="1"/>
    <col min="2" max="3" width="20" style="1" customWidth="1"/>
    <col min="4" max="4" width="30" style="1" customWidth="1"/>
  </cols>
  <sheetData>
    <row r="1" spans="1:5" ht="19.5" customHeight="1" x14ac:dyDescent="0.3">
      <c r="A1" s="50" t="s">
        <v>228</v>
      </c>
      <c r="B1" s="50"/>
      <c r="C1" s="50"/>
      <c r="D1" s="50"/>
      <c r="E1" s="7"/>
    </row>
    <row r="2" spans="1:5" ht="15" customHeight="1" x14ac:dyDescent="0.25">
      <c r="A2" s="51" t="s">
        <v>229</v>
      </c>
      <c r="B2" s="51"/>
      <c r="C2" s="51"/>
      <c r="D2" s="51"/>
      <c r="E2" s="7"/>
    </row>
    <row r="3" spans="1:5" ht="15" customHeight="1" x14ac:dyDescent="0.25">
      <c r="A3" s="7"/>
      <c r="B3" s="7"/>
      <c r="C3" s="7"/>
      <c r="D3" s="7"/>
      <c r="E3" s="7"/>
    </row>
    <row r="4" spans="1:5" ht="15" customHeight="1" x14ac:dyDescent="0.25">
      <c r="A4" s="19" t="s">
        <v>12</v>
      </c>
      <c r="B4" s="19" t="s">
        <v>230</v>
      </c>
      <c r="C4" s="19" t="s">
        <v>231</v>
      </c>
      <c r="D4" s="19" t="s">
        <v>232</v>
      </c>
      <c r="E4" s="7"/>
    </row>
    <row r="5" spans="1:5" ht="15" customHeight="1" x14ac:dyDescent="0.25">
      <c r="A5" s="30" t="s">
        <v>22</v>
      </c>
      <c r="B5" s="31">
        <f>SUMIFS(Lançamentos!I:I,Lançamentos!C:C,A5,Lançamentos!H:H,"Entrada")</f>
        <v>4988379.88</v>
      </c>
      <c r="C5" s="31">
        <f>SUMIFS(Lançamentos!I:I,Lançamentos!C:C,A5,Lançamentos!H:H,"Despesa")</f>
        <v>0</v>
      </c>
      <c r="D5" s="26"/>
      <c r="E5" s="7"/>
    </row>
    <row r="6" spans="1:5" ht="15" customHeight="1" x14ac:dyDescent="0.25">
      <c r="A6" s="30" t="s">
        <v>233</v>
      </c>
      <c r="B6" s="31">
        <f>SUMIFS(Lançamentos!I:I,Lançamentos!C:C,A6,Lançamentos!H:H,"Entrada")</f>
        <v>0</v>
      </c>
      <c r="C6" s="31">
        <f>SUMIFS(Lançamentos!I:I,Lançamentos!C:C,A6,Lançamentos!H:H,"Despesa")</f>
        <v>0</v>
      </c>
      <c r="D6" s="26"/>
      <c r="E6" s="7"/>
    </row>
    <row r="7" spans="1:5" ht="15" customHeight="1" x14ac:dyDescent="0.25">
      <c r="A7" s="30" t="s">
        <v>26</v>
      </c>
      <c r="B7" s="31">
        <f>SUMIFS(Lançamentos!I:I,Lançamentos!C:C,A7,Lançamentos!H:H,"Entrada")</f>
        <v>0</v>
      </c>
      <c r="C7" s="31">
        <f>SUMIFS(Lançamentos!I:I,Lançamentos!C:C,A7,Lançamentos!H:H,"Despesa")</f>
        <v>1093730</v>
      </c>
      <c r="D7" s="26"/>
      <c r="E7" s="7"/>
    </row>
    <row r="8" spans="1:5" ht="15" customHeight="1" x14ac:dyDescent="0.25">
      <c r="A8" s="30" t="s">
        <v>234</v>
      </c>
      <c r="B8" s="31">
        <f>SUMIFS(Lançamentos!I:I,Lançamentos!C:C,A8,Lançamentos!H:H,"Entrada")</f>
        <v>0</v>
      </c>
      <c r="C8" s="31">
        <f>SUMIFS(Lançamentos!I:I,Lançamentos!C:C,A8,Lançamentos!H:H,"Despesa")</f>
        <v>0</v>
      </c>
      <c r="D8" s="26"/>
      <c r="E8" s="7"/>
    </row>
    <row r="9" spans="1:5" ht="15" customHeight="1" x14ac:dyDescent="0.25">
      <c r="A9" s="30" t="s">
        <v>99</v>
      </c>
      <c r="B9" s="31">
        <f>SUMIFS(Lançamentos!I:I,Lançamentos!C:C,A9,Lançamentos!H:H,"Entrada")</f>
        <v>0</v>
      </c>
      <c r="C9" s="31">
        <f>SUMIFS(Lançamentos!I:I,Lançamentos!C:C,A9,Lançamentos!H:H,"Despesa")</f>
        <v>1208000</v>
      </c>
      <c r="D9" s="26"/>
      <c r="E9" s="7"/>
    </row>
    <row r="10" spans="1:5" ht="15" customHeight="1" x14ac:dyDescent="0.25">
      <c r="A10" s="30" t="s">
        <v>72</v>
      </c>
      <c r="B10" s="31">
        <f>SUMIFS(Lançamentos!I:I,Lançamentos!C:C,A10,Lançamentos!H:H,"Entrada")</f>
        <v>0</v>
      </c>
      <c r="C10" s="31">
        <f>SUMIFS(Lançamentos!I:I,Lançamentos!C:C,A10,Lançamentos!H:H,"Despesa")</f>
        <v>592500</v>
      </c>
      <c r="D10" s="26"/>
      <c r="E10" s="7"/>
    </row>
    <row r="11" spans="1:5" ht="15" customHeight="1" x14ac:dyDescent="0.25">
      <c r="A11" s="30" t="s">
        <v>101</v>
      </c>
      <c r="B11" s="31">
        <f>SUMIFS(Lançamentos!I:I,Lançamentos!C:C,A11,Lançamentos!H:H,"Entrada")</f>
        <v>0</v>
      </c>
      <c r="C11" s="31">
        <f>SUMIFS(Lançamentos!I:I,Lançamentos!C:C,A11,Lançamentos!H:H,"Despesa")</f>
        <v>45000</v>
      </c>
      <c r="D11" s="26"/>
      <c r="E11" s="7"/>
    </row>
    <row r="12" spans="1:5" ht="15" customHeight="1" x14ac:dyDescent="0.25">
      <c r="A12" s="30" t="s">
        <v>67</v>
      </c>
      <c r="B12" s="31">
        <f>SUMIFS(Lançamentos!I:I,Lançamentos!C:C,A12,Lançamentos!H:H,"Entrada")</f>
        <v>0</v>
      </c>
      <c r="C12" s="31">
        <f>SUMIFS(Lançamentos!I:I,Lançamentos!C:C,A12,Lançamentos!H:H,"Despesa")</f>
        <v>200000</v>
      </c>
      <c r="D12" s="26"/>
      <c r="E12" s="7"/>
    </row>
    <row r="13" spans="1:5" ht="15" customHeight="1" x14ac:dyDescent="0.25">
      <c r="A13" s="30" t="s">
        <v>63</v>
      </c>
      <c r="B13" s="31">
        <f>SUMIFS(Lançamentos!I:I,Lançamentos!C:C,A13,Lançamentos!H:H,"Entrada")</f>
        <v>0</v>
      </c>
      <c r="C13" s="31">
        <f>SUMIFS(Lançamentos!I:I,Lançamentos!C:C,A13,Lançamentos!H:H,"Despesa")</f>
        <v>285200</v>
      </c>
      <c r="D13" s="26"/>
      <c r="E13" s="7"/>
    </row>
    <row r="14" spans="1:5" ht="15" customHeight="1" x14ac:dyDescent="0.25">
      <c r="A14" s="30" t="s">
        <v>43</v>
      </c>
      <c r="B14" s="31">
        <f>SUMIFS(Lançamentos!I:I,Lançamentos!C:C,A14,Lançamentos!H:H,"Entrada")</f>
        <v>0</v>
      </c>
      <c r="C14" s="31">
        <f>SUMIFS(Lançamentos!I:I,Lançamentos!C:C,A14,Lançamentos!H:H,"Despesa")</f>
        <v>380566</v>
      </c>
      <c r="D14" s="26"/>
      <c r="E14" s="7"/>
    </row>
    <row r="15" spans="1:5" ht="15" customHeight="1" x14ac:dyDescent="0.25">
      <c r="A15" s="30" t="s">
        <v>145</v>
      </c>
      <c r="B15" s="31">
        <f>SUMIFS(Lançamentos!I:I,Lançamentos!C:C,A15,Lançamentos!H:H,"Entrada")</f>
        <v>0</v>
      </c>
      <c r="C15" s="31">
        <f>SUMIFS(Lançamentos!I:I,Lançamentos!C:C,A15,Lançamentos!H:H,"Despesa")</f>
        <v>90000</v>
      </c>
      <c r="D15" s="26"/>
      <c r="E15" s="7"/>
    </row>
    <row r="16" spans="1:5" ht="15" customHeight="1" x14ac:dyDescent="0.25">
      <c r="A16" s="30" t="s">
        <v>235</v>
      </c>
      <c r="B16" s="31">
        <f>SUMIFS(Lançamentos!I:I,Lançamentos!C:C,A16,Lançamentos!H:H,"Entrada")</f>
        <v>0</v>
      </c>
      <c r="C16" s="31">
        <f>SUMIFS(Lançamentos!I:I,Lançamentos!C:C,A16,Lançamentos!H:H,"Despesa")</f>
        <v>0</v>
      </c>
      <c r="D16" s="26"/>
      <c r="E16" s="7"/>
    </row>
    <row r="17" spans="1:5" ht="15" customHeight="1" x14ac:dyDescent="0.25">
      <c r="A17" s="30" t="s">
        <v>236</v>
      </c>
      <c r="B17" s="31">
        <f>SUMIFS(Lançamentos!I:I,Lançamentos!C:C,A17,Lançamentos!H:H,"Entrada")</f>
        <v>0</v>
      </c>
      <c r="C17" s="31">
        <f>SUMIFS(Lançamentos!I:I,Lançamentos!C:C,A17,Lançamentos!H:H,"Despesa")</f>
        <v>0</v>
      </c>
      <c r="D17" s="26"/>
      <c r="E17" s="7"/>
    </row>
    <row r="18" spans="1:5" ht="15" customHeight="1" x14ac:dyDescent="0.25">
      <c r="A18" s="30" t="s">
        <v>47</v>
      </c>
      <c r="B18" s="31">
        <f>SUMIFS(Lançamentos!I:I,Lançamentos!C:C,A18,Lançamentos!H:H,"Entrada")</f>
        <v>0</v>
      </c>
      <c r="C18" s="31">
        <f>SUMIFS(Lançamentos!I:I,Lançamentos!C:C,A18,Lançamentos!H:H,"Despesa")</f>
        <v>677289.84000000008</v>
      </c>
      <c r="D18" s="26"/>
      <c r="E18" s="7"/>
    </row>
    <row r="19" spans="1:5" ht="15" customHeight="1" x14ac:dyDescent="0.25">
      <c r="A19" s="30" t="s">
        <v>132</v>
      </c>
      <c r="B19" s="31">
        <f>SUMIFS(Lançamentos!I:I,Lançamentos!C:C,A19,Lançamentos!H:H,"Entrada")</f>
        <v>0</v>
      </c>
      <c r="C19" s="31">
        <f>SUMIFS(Lançamentos!I:I,Lançamentos!C:C,A19,Lançamentos!H:H,"Despesa")</f>
        <v>2994</v>
      </c>
      <c r="D19" s="26"/>
      <c r="E19" s="7"/>
    </row>
    <row r="20" spans="1:5" ht="15" customHeight="1" x14ac:dyDescent="0.25">
      <c r="A20" s="30" t="s">
        <v>237</v>
      </c>
      <c r="B20" s="31">
        <f>SUMIFS(Lançamentos!I:I,Lançamentos!C:C,A20,Lançamentos!H:H,"Entrada")</f>
        <v>0</v>
      </c>
      <c r="C20" s="31">
        <f>SUMIFS(Lançamentos!I:I,Lançamentos!C:C,A20,Lançamentos!H:H,"Despesa")</f>
        <v>0</v>
      </c>
      <c r="D20" s="26"/>
      <c r="E20" s="7"/>
    </row>
    <row r="21" spans="1:5" ht="15" customHeight="1" x14ac:dyDescent="0.25">
      <c r="A21" s="30" t="s">
        <v>32</v>
      </c>
      <c r="B21" s="31">
        <f>SUMIFS(Lançamentos!I:I,Lançamentos!C:C,A21,Lançamentos!H:H,"Entrada")</f>
        <v>0</v>
      </c>
      <c r="C21" s="31">
        <f>SUMIFS(Lançamentos!I:I,Lançamentos!C:C,A21,Lançamentos!H:H,"Despesa")</f>
        <v>213000.04</v>
      </c>
      <c r="D21" s="26"/>
      <c r="E21" s="7"/>
    </row>
    <row r="22" spans="1:5" ht="15" customHeight="1" x14ac:dyDescent="0.25">
      <c r="A22" s="30" t="s">
        <v>238</v>
      </c>
      <c r="B22" s="31">
        <f>SUMIFS(Lançamentos!I:I,Lançamentos!C:C,A22,Lançamentos!H:H,"Entrada")</f>
        <v>0</v>
      </c>
      <c r="C22" s="31">
        <f>SUMIFS(Lançamentos!I:I,Lançamentos!C:C,A22,Lançamentos!H:H,"Despesa")</f>
        <v>0</v>
      </c>
      <c r="D22" s="26"/>
      <c r="E22" s="7"/>
    </row>
    <row r="23" spans="1:5" ht="15" customHeight="1" x14ac:dyDescent="0.25">
      <c r="A23" s="30" t="s">
        <v>239</v>
      </c>
      <c r="B23" s="31">
        <f>SUMIFS(Lançamentos!I:I,Lançamentos!C:C,A23,Lançamentos!H:H,"Entrada")</f>
        <v>0</v>
      </c>
      <c r="C23" s="31">
        <f>SUMIFS(Lançamentos!I:I,Lançamentos!C:C,A23,Lançamentos!H:H,"Despesa")</f>
        <v>0</v>
      </c>
      <c r="D23" s="26"/>
      <c r="E23" s="7"/>
    </row>
    <row r="24" spans="1:5" ht="15" customHeight="1" x14ac:dyDescent="0.25">
      <c r="A24" s="30" t="s">
        <v>95</v>
      </c>
      <c r="B24" s="31">
        <f>SUMIFS(Lançamentos!I:I,Lançamentos!C:C,A24,Lançamentos!H:H,"Entrada")</f>
        <v>0</v>
      </c>
      <c r="C24" s="31">
        <f>SUMIFS(Lançamentos!I:I,Lançamentos!C:C,A24,Lançamentos!H:H,"Despesa")</f>
        <v>9000</v>
      </c>
      <c r="D24" s="26"/>
      <c r="E24" s="7"/>
    </row>
    <row r="25" spans="1:5" ht="15" customHeight="1" x14ac:dyDescent="0.25">
      <c r="A25" s="30" t="s">
        <v>240</v>
      </c>
      <c r="B25" s="31">
        <f>SUMIFS(Lançamentos!I:I,Lançamentos!C:C,A25,Lançamentos!H:H,"Entrada")</f>
        <v>0</v>
      </c>
      <c r="C25" s="31">
        <f>SUMIFS(Lançamentos!I:I,Lançamentos!C:C,A25,Lançamentos!H:H,"Despesa")</f>
        <v>0</v>
      </c>
      <c r="D25" s="26"/>
      <c r="E25" s="7"/>
    </row>
    <row r="26" spans="1:5" ht="15" customHeight="1" x14ac:dyDescent="0.25">
      <c r="A26" s="30" t="s">
        <v>241</v>
      </c>
      <c r="B26" s="31">
        <f>SUMIFS(Lançamentos!I:I,Lançamentos!C:C,A26,Lançamentos!H:H,"Entrada")</f>
        <v>0</v>
      </c>
      <c r="C26" s="31">
        <f>SUMIFS(Lançamentos!I:I,Lançamentos!C:C,A26,Lançamentos!H:H,"Despesa")</f>
        <v>0</v>
      </c>
      <c r="D26" s="26"/>
      <c r="E26" s="7"/>
    </row>
    <row r="27" spans="1:5" ht="15" customHeight="1" x14ac:dyDescent="0.25">
      <c r="A27" s="30" t="s">
        <v>51</v>
      </c>
      <c r="B27" s="31">
        <f>SUMIFS(Lançamentos!I:I,Lançamentos!C:C,A27,Lançamentos!H:H,"Entrada")</f>
        <v>0</v>
      </c>
      <c r="C27" s="31">
        <f>SUMIFS(Lançamentos!I:I,Lançamentos!C:C,A27,Lançamentos!H:H,"Despesa")</f>
        <v>163100</v>
      </c>
      <c r="D27" s="26"/>
      <c r="E27" s="7"/>
    </row>
    <row r="28" spans="1:5" ht="17.25" customHeight="1" x14ac:dyDescent="0.25">
      <c r="A28" s="1" t="s">
        <v>149</v>
      </c>
      <c r="B28" s="31">
        <f>SUMIFS(Lançamentos!I:I,Lançamentos!C:C,A28,Lançamentos!H:H,"Entrada")</f>
        <v>0</v>
      </c>
      <c r="C28" s="31">
        <f>SUMIFS(Lançamentos!I:I,Lançamentos!C:C,A28,Lançamentos!H:H,"Despesa")</f>
        <v>28000</v>
      </c>
      <c r="D28" s="26"/>
    </row>
    <row r="29" spans="1:5" ht="15" customHeight="1" x14ac:dyDescent="0.25">
      <c r="A29" s="1" t="s">
        <v>249</v>
      </c>
      <c r="B29" s="31">
        <f>SUMIFS(Lançamentos!I:I,Lançamentos!C:C,A29,Lançamentos!H:H,"Entrada")</f>
        <v>0</v>
      </c>
      <c r="C29" s="31">
        <f>SUMIFS(Lançamentos!I:I,Lançamentos!C:C,A29,Lançamentos!H:H,"Despesa")</f>
        <v>0</v>
      </c>
      <c r="D29" s="26"/>
    </row>
    <row r="30" spans="1:5" ht="15" customHeight="1" x14ac:dyDescent="0.25">
      <c r="A30" s="1" t="s">
        <v>252</v>
      </c>
      <c r="B30" s="31">
        <f>SUMIFS(Lançamentos!I:I,Lançamentos!C:C,A30,Lançamentos!H:H,"Entrada")</f>
        <v>0</v>
      </c>
      <c r="C30" s="31">
        <f>SUMIFS(Lançamentos!I:I,Lançamentos!C:C,A30,Lançamentos!H:H,"Despesa")</f>
        <v>0</v>
      </c>
      <c r="D30" s="26"/>
    </row>
    <row r="31" spans="1:5" ht="15" customHeight="1" x14ac:dyDescent="0.25">
      <c r="A31" s="32" t="s">
        <v>243</v>
      </c>
      <c r="B31" s="33">
        <f>SUM(B5:B30)</f>
        <v>4988379.88</v>
      </c>
      <c r="C31" s="33">
        <f>SUM(C5:C30)</f>
        <v>4988379.88</v>
      </c>
      <c r="D31" s="34"/>
      <c r="E31" s="7"/>
    </row>
    <row r="32" spans="1:5" ht="15" customHeight="1" x14ac:dyDescent="0.25">
      <c r="A32" s="7"/>
      <c r="B32" s="7"/>
      <c r="C32" s="7"/>
      <c r="D32" s="7"/>
      <c r="E32" s="7"/>
    </row>
    <row r="33" spans="1:5" ht="15" customHeight="1" x14ac:dyDescent="0.25">
      <c r="A33" s="35" t="s">
        <v>244</v>
      </c>
      <c r="C33" s="28">
        <f>B31</f>
        <v>4988379.88</v>
      </c>
      <c r="D33" s="1" t="s">
        <v>5</v>
      </c>
      <c r="E33" s="7"/>
    </row>
    <row r="34" spans="1:5" ht="15" customHeight="1" x14ac:dyDescent="0.25">
      <c r="E34" s="7"/>
    </row>
    <row r="35" spans="1:5" ht="15" customHeight="1" x14ac:dyDescent="0.25">
      <c r="E35" s="7"/>
    </row>
    <row r="36" spans="1:5" ht="15" customHeight="1" x14ac:dyDescent="0.25">
      <c r="E36" s="7"/>
    </row>
    <row r="37" spans="1:5" ht="15" customHeight="1" x14ac:dyDescent="0.25">
      <c r="E37" s="7"/>
    </row>
    <row r="38" spans="1:5" ht="15" customHeight="1" x14ac:dyDescent="0.25">
      <c r="E38" s="7"/>
    </row>
    <row r="39" spans="1:5" ht="15" customHeight="1" x14ac:dyDescent="0.25">
      <c r="E39" s="7"/>
    </row>
    <row r="40" spans="1:5" ht="15" customHeight="1" x14ac:dyDescent="0.25">
      <c r="A40" s="7"/>
      <c r="B40" s="7"/>
      <c r="C40" s="7"/>
      <c r="D40" s="7"/>
      <c r="E40" s="7"/>
    </row>
    <row r="41" spans="1:5" ht="15" customHeight="1" x14ac:dyDescent="0.25">
      <c r="A41" s="7"/>
      <c r="B41" s="7"/>
      <c r="C41" s="7"/>
      <c r="D41" s="7"/>
      <c r="E41" s="7"/>
    </row>
    <row r="42" spans="1:5" ht="15" customHeight="1" x14ac:dyDescent="0.25">
      <c r="A42" s="7"/>
      <c r="B42" s="7"/>
      <c r="C42" s="7"/>
      <c r="D42" s="7"/>
      <c r="E42" s="7"/>
    </row>
    <row r="43" spans="1:5" ht="15" customHeight="1" x14ac:dyDescent="0.25">
      <c r="A43" s="7"/>
      <c r="B43" s="7"/>
      <c r="C43" s="7"/>
      <c r="D43" s="7"/>
      <c r="E43" s="7"/>
    </row>
    <row r="44" spans="1:5" ht="15" customHeight="1" x14ac:dyDescent="0.25">
      <c r="A44" s="7"/>
      <c r="B44" s="7"/>
      <c r="C44" s="7"/>
      <c r="D44" s="7"/>
      <c r="E44" s="7"/>
    </row>
    <row r="45" spans="1:5" ht="15" customHeight="1" x14ac:dyDescent="0.25">
      <c r="A45" s="7"/>
      <c r="B45" s="7"/>
      <c r="C45" s="7"/>
      <c r="D45" s="7"/>
      <c r="E45" s="7"/>
    </row>
    <row r="46" spans="1:5" ht="15" customHeight="1" x14ac:dyDescent="0.25">
      <c r="A46" s="7"/>
      <c r="B46" s="7"/>
      <c r="C46" s="7"/>
      <c r="D46" s="7"/>
      <c r="E46" s="7"/>
    </row>
    <row r="47" spans="1:5" ht="15" customHeight="1" x14ac:dyDescent="0.25">
      <c r="A47" s="7"/>
      <c r="B47" s="7"/>
      <c r="C47" s="7"/>
      <c r="D47" s="7"/>
      <c r="E47" s="7"/>
    </row>
    <row r="48" spans="1:5" ht="15" customHeight="1" x14ac:dyDescent="0.25">
      <c r="A48" s="7"/>
      <c r="B48" s="7"/>
      <c r="C48" s="7"/>
      <c r="D48" s="7"/>
      <c r="E48" s="7"/>
    </row>
    <row r="49" spans="1:5" ht="15" customHeight="1" x14ac:dyDescent="0.25">
      <c r="A49" s="7"/>
      <c r="B49" s="7"/>
      <c r="C49" s="7"/>
      <c r="D49" s="7"/>
      <c r="E49" s="7"/>
    </row>
    <row r="50" spans="1:5" ht="15" customHeight="1" x14ac:dyDescent="0.25">
      <c r="A50" s="7"/>
      <c r="B50" s="7"/>
      <c r="C50" s="7"/>
      <c r="D50" s="7"/>
      <c r="E50" s="7"/>
    </row>
    <row r="51" spans="1:5" ht="15" customHeight="1" x14ac:dyDescent="0.25">
      <c r="A51" s="7"/>
      <c r="B51" s="7"/>
      <c r="C51" s="7"/>
      <c r="D51" s="7"/>
      <c r="E51" s="7"/>
    </row>
    <row r="52" spans="1:5" ht="15" customHeight="1" x14ac:dyDescent="0.25">
      <c r="A52" s="7"/>
      <c r="B52" s="7"/>
      <c r="C52" s="7"/>
      <c r="D52" s="7"/>
      <c r="E52" s="7"/>
    </row>
  </sheetData>
  <mergeCells count="2">
    <mergeCell ref="A1:D1"/>
    <mergeCell ref="A2:D2"/>
  </mergeCells>
  <printOptions horizontalCentered="1"/>
  <pageMargins left="0.4" right="0.4" top="0.5" bottom="0.5" header="0.511811023622047" footer="0.511811023622047"/>
  <pageSetup paperSize="9" fitToHeight="0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40"/>
  <sheetViews>
    <sheetView tabSelected="1" topLeftCell="A16" zoomScaleNormal="100" workbookViewId="0">
      <selection activeCell="B37" sqref="B37"/>
    </sheetView>
  </sheetViews>
  <sheetFormatPr defaultColWidth="8.7109375" defaultRowHeight="15" x14ac:dyDescent="0.25"/>
  <cols>
    <col min="1" max="1" width="28" style="1" customWidth="1"/>
    <col min="2" max="2" width="40.5703125" style="1" customWidth="1"/>
  </cols>
  <sheetData>
    <row r="1" spans="1:2" ht="19.5" customHeight="1" x14ac:dyDescent="0.3">
      <c r="A1" s="50" t="s">
        <v>245</v>
      </c>
      <c r="B1" s="50"/>
    </row>
    <row r="2" spans="1:2" ht="15" customHeight="1" x14ac:dyDescent="0.25"/>
    <row r="3" spans="1:2" ht="15" customHeight="1" x14ac:dyDescent="0.25">
      <c r="A3" s="36" t="s">
        <v>12</v>
      </c>
      <c r="B3" s="36" t="s">
        <v>246</v>
      </c>
    </row>
    <row r="4" spans="1:2" ht="15" customHeight="1" x14ac:dyDescent="0.25">
      <c r="A4" s="37" t="s">
        <v>22</v>
      </c>
      <c r="B4" s="38" t="s">
        <v>24</v>
      </c>
    </row>
    <row r="5" spans="1:2" ht="15" customHeight="1" x14ac:dyDescent="0.25">
      <c r="A5" s="37" t="s">
        <v>233</v>
      </c>
      <c r="B5" s="38" t="s">
        <v>24</v>
      </c>
    </row>
    <row r="6" spans="1:2" ht="15" customHeight="1" x14ac:dyDescent="0.25">
      <c r="A6" s="37" t="s">
        <v>26</v>
      </c>
      <c r="B6" s="39" t="s">
        <v>30</v>
      </c>
    </row>
    <row r="7" spans="1:2" ht="15" customHeight="1" x14ac:dyDescent="0.25">
      <c r="A7" s="37" t="s">
        <v>234</v>
      </c>
      <c r="B7" s="39" t="s">
        <v>30</v>
      </c>
    </row>
    <row r="8" spans="1:2" ht="15" customHeight="1" x14ac:dyDescent="0.25">
      <c r="A8" s="37" t="s">
        <v>99</v>
      </c>
      <c r="B8" s="39" t="s">
        <v>30</v>
      </c>
    </row>
    <row r="9" spans="1:2" ht="15" customHeight="1" x14ac:dyDescent="0.25">
      <c r="A9" s="37" t="s">
        <v>72</v>
      </c>
      <c r="B9" s="39" t="s">
        <v>30</v>
      </c>
    </row>
    <row r="10" spans="1:2" ht="15" customHeight="1" x14ac:dyDescent="0.25">
      <c r="A10" s="37" t="s">
        <v>101</v>
      </c>
      <c r="B10" s="39" t="s">
        <v>30</v>
      </c>
    </row>
    <row r="11" spans="1:2" ht="15" customHeight="1" x14ac:dyDescent="0.25">
      <c r="A11" s="37" t="s">
        <v>67</v>
      </c>
      <c r="B11" s="39" t="s">
        <v>30</v>
      </c>
    </row>
    <row r="12" spans="1:2" ht="15" customHeight="1" x14ac:dyDescent="0.25">
      <c r="A12" s="37" t="s">
        <v>63</v>
      </c>
      <c r="B12" s="39" t="s">
        <v>30</v>
      </c>
    </row>
    <row r="13" spans="1:2" ht="15" customHeight="1" x14ac:dyDescent="0.25">
      <c r="A13" s="37" t="s">
        <v>43</v>
      </c>
      <c r="B13" s="39" t="s">
        <v>30</v>
      </c>
    </row>
    <row r="14" spans="1:2" ht="15" customHeight="1" x14ac:dyDescent="0.25">
      <c r="A14" s="37" t="s">
        <v>145</v>
      </c>
      <c r="B14" s="39" t="s">
        <v>30</v>
      </c>
    </row>
    <row r="15" spans="1:2" ht="15" customHeight="1" x14ac:dyDescent="0.25">
      <c r="A15" s="37" t="s">
        <v>235</v>
      </c>
      <c r="B15" s="39" t="s">
        <v>30</v>
      </c>
    </row>
    <row r="16" spans="1:2" ht="15" customHeight="1" x14ac:dyDescent="0.25">
      <c r="A16" s="37" t="s">
        <v>236</v>
      </c>
      <c r="B16" s="39" t="s">
        <v>30</v>
      </c>
    </row>
    <row r="17" spans="1:2" ht="15" customHeight="1" x14ac:dyDescent="0.25">
      <c r="A17" s="37" t="s">
        <v>47</v>
      </c>
      <c r="B17" s="39" t="s">
        <v>30</v>
      </c>
    </row>
    <row r="18" spans="1:2" ht="15" customHeight="1" x14ac:dyDescent="0.25">
      <c r="A18" s="37" t="s">
        <v>132</v>
      </c>
      <c r="B18" s="39" t="s">
        <v>30</v>
      </c>
    </row>
    <row r="19" spans="1:2" ht="15" customHeight="1" x14ac:dyDescent="0.25">
      <c r="A19" s="37" t="s">
        <v>237</v>
      </c>
      <c r="B19" s="39" t="s">
        <v>30</v>
      </c>
    </row>
    <row r="20" spans="1:2" ht="15" customHeight="1" x14ac:dyDescent="0.25">
      <c r="A20" s="37" t="s">
        <v>32</v>
      </c>
      <c r="B20" s="39" t="s">
        <v>30</v>
      </c>
    </row>
    <row r="21" spans="1:2" ht="15" customHeight="1" x14ac:dyDescent="0.25">
      <c r="A21" s="37" t="s">
        <v>238</v>
      </c>
      <c r="B21" s="39" t="s">
        <v>30</v>
      </c>
    </row>
    <row r="22" spans="1:2" ht="15" customHeight="1" x14ac:dyDescent="0.25">
      <c r="A22" s="37" t="s">
        <v>239</v>
      </c>
      <c r="B22" s="39" t="s">
        <v>30</v>
      </c>
    </row>
    <row r="23" spans="1:2" ht="15" customHeight="1" x14ac:dyDescent="0.25">
      <c r="A23" s="37" t="s">
        <v>95</v>
      </c>
      <c r="B23" s="39" t="s">
        <v>30</v>
      </c>
    </row>
    <row r="24" spans="1:2" ht="15" customHeight="1" x14ac:dyDescent="0.25">
      <c r="A24" s="37" t="s">
        <v>240</v>
      </c>
      <c r="B24" s="39" t="s">
        <v>30</v>
      </c>
    </row>
    <row r="25" spans="1:2" ht="15" customHeight="1" x14ac:dyDescent="0.25">
      <c r="A25" s="37" t="s">
        <v>241</v>
      </c>
      <c r="B25" s="39" t="s">
        <v>30</v>
      </c>
    </row>
    <row r="26" spans="1:2" ht="15" customHeight="1" x14ac:dyDescent="0.25">
      <c r="A26" s="40" t="s">
        <v>51</v>
      </c>
      <c r="B26" s="39" t="s">
        <v>30</v>
      </c>
    </row>
    <row r="27" spans="1:2" ht="15" customHeight="1" x14ac:dyDescent="0.25">
      <c r="A27" s="1" t="s">
        <v>149</v>
      </c>
      <c r="B27" s="39" t="s">
        <v>30</v>
      </c>
    </row>
    <row r="28" spans="1:2" ht="15" customHeight="1" x14ac:dyDescent="0.25">
      <c r="A28" s="41" t="s">
        <v>249</v>
      </c>
      <c r="B28" s="39" t="s">
        <v>30</v>
      </c>
    </row>
    <row r="29" spans="1:2" ht="15" customHeight="1" x14ac:dyDescent="0.25">
      <c r="A29" s="1" t="s">
        <v>242</v>
      </c>
      <c r="B29" s="39" t="s">
        <v>30</v>
      </c>
    </row>
    <row r="30" spans="1:2" ht="15" customHeight="1" x14ac:dyDescent="0.25">
      <c r="A30" s="55" t="s">
        <v>253</v>
      </c>
    </row>
    <row r="31" spans="1:2" ht="15" customHeight="1" x14ac:dyDescent="0.25">
      <c r="A31" s="55"/>
    </row>
    <row r="32" spans="1:2" ht="15" customHeight="1" x14ac:dyDescent="0.25">
      <c r="A32" s="48" t="s">
        <v>247</v>
      </c>
      <c r="B32" s="48"/>
    </row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</sheetData>
  <mergeCells count="2">
    <mergeCell ref="A1:B1"/>
    <mergeCell ref="A32:B32"/>
  </mergeCells>
  <printOptions horizontalCentered="1"/>
  <pageMargins left="0.4" right="0.4" top="0.5" bottom="0.5" header="0.511811023622047" footer="0.511811023622047"/>
  <pageSetup paperSize="9" fitToHeight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4</vt:i4>
      </vt:variant>
      <vt:variant>
        <vt:lpstr>Intervalos com Nome</vt:lpstr>
      </vt:variant>
      <vt:variant>
        <vt:i4>5</vt:i4>
      </vt:variant>
    </vt:vector>
  </HeadingPairs>
  <TitlesOfParts>
    <vt:vector size="9" baseType="lpstr">
      <vt:lpstr>Lançamentos</vt:lpstr>
      <vt:lpstr>Arquivos Digitais</vt:lpstr>
      <vt:lpstr>Resumo por Categoria</vt:lpstr>
      <vt:lpstr>Lista de Categorias</vt:lpstr>
      <vt:lpstr>'Arquivos Digitais'!Área_de_Impressão</vt:lpstr>
      <vt:lpstr>Lançamentos!Área_de_Impressão</vt:lpstr>
      <vt:lpstr>'Lista de Categorias'!Área_de_Impressão</vt:lpstr>
      <vt:lpstr>'Resumo por Categoria'!Área_de_Impressão</vt:lpstr>
      <vt:lpstr>Lançamentos!Títulos_de_Impressão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Tânia Martins</cp:lastModifiedBy>
  <cp:revision>0</cp:revision>
  <cp:lastPrinted>2026-08-14T10:47:23Z</cp:lastPrinted>
  <dcterms:created xsi:type="dcterms:W3CDTF">2026-08-09T13:12:08Z</dcterms:created>
  <dcterms:modified xsi:type="dcterms:W3CDTF">2026-08-20T10:43:18Z</dcterms:modified>
  <dc:language>en-US</dc:language>
</cp:coreProperties>
</file>