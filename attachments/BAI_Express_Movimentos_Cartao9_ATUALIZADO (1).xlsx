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0f44080f3793ef29/Desktop/CONTABILIDADE/"/>
    </mc:Choice>
  </mc:AlternateContent>
  <xr:revisionPtr revIDLastSave="64" documentId="13_ncr:1_{5311ED17-1E1F-45BF-9108-99A8DD88EF67}" xr6:coauthVersionLast="47" xr6:coauthVersionMax="47" xr10:uidLastSave="{EB3DF36B-8319-4963-B1BC-1ADF66E8BFA5}"/>
  <bookViews>
    <workbookView xWindow="-120" yWindow="-120" windowWidth="24240" windowHeight="13140" tabRatio="500" xr2:uid="{00000000-000D-0000-FFFF-FFFF00000000}"/>
  </bookViews>
  <sheets>
    <sheet name="Movimentos" sheetId="1" r:id="rId1"/>
    <sheet name="Arquivo Faturas Cartão" sheetId="2" r:id="rId2"/>
    <sheet name="Fundo de Maneio" sheetId="3" r:id="rId3"/>
    <sheet name="Resumo Mensal" sheetId="4" r:id="rId4"/>
    <sheet name="Instruções" sheetId="5" r:id="rId5"/>
  </sheets>
  <definedNames>
    <definedName name="_xlnm.Print_Area" localSheetId="1">'Arquivo Faturas Cartão'!$A$1:$I$35</definedName>
    <definedName name="_xlnm.Print_Area" localSheetId="2">'Fundo de Maneio'!$A$1:$F$76</definedName>
    <definedName name="_xlnm.Print_Area" localSheetId="4">Instruções!$A$1:$A$30</definedName>
    <definedName name="_xlnm.Print_Area" localSheetId="0">Movimentos!$A$1:$G$45</definedName>
    <definedName name="_xlnm.Print_Area" localSheetId="3">'Resumo Mensal'!$A$1:$E$20</definedName>
    <definedName name="_xlnm.Print_Titles" localSheetId="1">'Arquivo Faturas Cartão'!$11:$11</definedName>
    <definedName name="_xlnm.Print_Titles" localSheetId="2">'Fundo de Maneio'!$5:$5</definedName>
    <definedName name="_xlnm.Print_Titles" localSheetId="0">Movimentos!$6:$6</definedName>
    <definedName name="_xlnm.Print_Titles" localSheetId="3">'Resumo Mensal'!$1:$3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2" l="1"/>
  <c r="E5" i="4"/>
  <c r="C5" i="4"/>
  <c r="B5" i="4"/>
  <c r="E4" i="4"/>
  <c r="C4" i="4"/>
  <c r="B4" i="4"/>
  <c r="C117" i="3"/>
  <c r="D109" i="3"/>
  <c r="D110" i="3" s="1"/>
  <c r="D111" i="3" s="1"/>
  <c r="D112" i="3" s="1"/>
  <c r="D113" i="3" s="1"/>
  <c r="D114" i="3" s="1"/>
  <c r="D115" i="3" s="1"/>
  <c r="D116" i="3" s="1"/>
  <c r="C106" i="3"/>
  <c r="D98" i="3"/>
  <c r="D99" i="3" s="1"/>
  <c r="D100" i="3" s="1"/>
  <c r="D101" i="3" s="1"/>
  <c r="D102" i="3" s="1"/>
  <c r="D103" i="3" s="1"/>
  <c r="D104" i="3" s="1"/>
  <c r="D105" i="3" s="1"/>
  <c r="C95" i="3"/>
  <c r="C81" i="3"/>
  <c r="C70" i="3"/>
  <c r="C59" i="3"/>
  <c r="C48" i="3"/>
  <c r="C37" i="3"/>
  <c r="C26" i="3"/>
  <c r="D18" i="3"/>
  <c r="D19" i="3" s="1"/>
  <c r="D20" i="3" s="1"/>
  <c r="D21" i="3" s="1"/>
  <c r="D22" i="3" s="1"/>
  <c r="D23" i="3" s="1"/>
  <c r="D24" i="3" s="1"/>
  <c r="D25" i="3" s="1"/>
  <c r="B13" i="3"/>
  <c r="D12" i="3"/>
  <c r="D11" i="3"/>
  <c r="D10" i="3"/>
  <c r="D9" i="3"/>
  <c r="D8" i="3"/>
  <c r="D7" i="3"/>
  <c r="D6" i="3"/>
  <c r="I35" i="2"/>
  <c r="G35" i="2"/>
  <c r="E35" i="2"/>
  <c r="D35" i="2"/>
  <c r="C35" i="2"/>
  <c r="A35" i="2"/>
  <c r="I34" i="2"/>
  <c r="G34" i="2"/>
  <c r="E34" i="2"/>
  <c r="D34" i="2"/>
  <c r="C34" i="2"/>
  <c r="A34" i="2"/>
  <c r="I33" i="2"/>
  <c r="G33" i="2"/>
  <c r="E33" i="2"/>
  <c r="D33" i="2"/>
  <c r="C33" i="2"/>
  <c r="A33" i="2"/>
  <c r="I32" i="2"/>
  <c r="G32" i="2"/>
  <c r="E32" i="2"/>
  <c r="D32" i="2"/>
  <c r="C32" i="2"/>
  <c r="A32" i="2"/>
  <c r="I31" i="2"/>
  <c r="G31" i="2"/>
  <c r="E31" i="2"/>
  <c r="D31" i="2"/>
  <c r="C31" i="2"/>
  <c r="A31" i="2"/>
  <c r="I30" i="2"/>
  <c r="G30" i="2"/>
  <c r="E30" i="2"/>
  <c r="D30" i="2"/>
  <c r="C30" i="2"/>
  <c r="A30" i="2"/>
  <c r="I29" i="2"/>
  <c r="G29" i="2"/>
  <c r="E29" i="2"/>
  <c r="D29" i="2"/>
  <c r="C29" i="2"/>
  <c r="A29" i="2"/>
  <c r="I28" i="2"/>
  <c r="G28" i="2"/>
  <c r="E28" i="2"/>
  <c r="D28" i="2"/>
  <c r="C28" i="2"/>
  <c r="A28" i="2"/>
  <c r="I27" i="2"/>
  <c r="G27" i="2"/>
  <c r="E27" i="2"/>
  <c r="D27" i="2"/>
  <c r="C27" i="2"/>
  <c r="A27" i="2"/>
  <c r="I26" i="2"/>
  <c r="G26" i="2"/>
  <c r="E26" i="2"/>
  <c r="D26" i="2"/>
  <c r="C26" i="2"/>
  <c r="A26" i="2"/>
  <c r="I25" i="2"/>
  <c r="G25" i="2"/>
  <c r="E25" i="2"/>
  <c r="D25" i="2"/>
  <c r="C25" i="2"/>
  <c r="I24" i="2"/>
  <c r="G24" i="2"/>
  <c r="E24" i="2"/>
  <c r="D24" i="2"/>
  <c r="C24" i="2"/>
  <c r="A24" i="2"/>
  <c r="I23" i="2"/>
  <c r="G23" i="2"/>
  <c r="E23" i="2"/>
  <c r="D23" i="2"/>
  <c r="C23" i="2"/>
  <c r="A23" i="2"/>
  <c r="I22" i="2"/>
  <c r="G22" i="2"/>
  <c r="E22" i="2"/>
  <c r="D22" i="2"/>
  <c r="C22" i="2"/>
  <c r="A22" i="2"/>
  <c r="I21" i="2"/>
  <c r="G21" i="2"/>
  <c r="E21" i="2"/>
  <c r="D21" i="2"/>
  <c r="C21" i="2"/>
  <c r="A21" i="2"/>
  <c r="I20" i="2"/>
  <c r="G20" i="2"/>
  <c r="E20" i="2"/>
  <c r="D20" i="2"/>
  <c r="C20" i="2"/>
  <c r="A20" i="2"/>
  <c r="I19" i="2"/>
  <c r="G19" i="2"/>
  <c r="E19" i="2"/>
  <c r="D19" i="2"/>
  <c r="C19" i="2"/>
  <c r="A19" i="2"/>
  <c r="I18" i="2"/>
  <c r="G18" i="2"/>
  <c r="E18" i="2"/>
  <c r="D18" i="2"/>
  <c r="C18" i="2"/>
  <c r="A18" i="2"/>
  <c r="I17" i="2"/>
  <c r="G17" i="2"/>
  <c r="E17" i="2"/>
  <c r="D17" i="2"/>
  <c r="C17" i="2"/>
  <c r="A17" i="2"/>
  <c r="I16" i="2"/>
  <c r="G16" i="2"/>
  <c r="E16" i="2"/>
  <c r="D16" i="2"/>
  <c r="C16" i="2"/>
  <c r="A16" i="2"/>
  <c r="I15" i="2"/>
  <c r="G15" i="2"/>
  <c r="E15" i="2"/>
  <c r="D15" i="2"/>
  <c r="C15" i="2"/>
  <c r="A15" i="2"/>
  <c r="I14" i="2"/>
  <c r="G14" i="2"/>
  <c r="E14" i="2"/>
  <c r="D14" i="2"/>
  <c r="C14" i="2"/>
  <c r="A14" i="2"/>
  <c r="I13" i="2"/>
  <c r="G13" i="2"/>
  <c r="E13" i="2"/>
  <c r="D13" i="2"/>
  <c r="C13" i="2"/>
  <c r="A13" i="2"/>
  <c r="I12" i="2"/>
  <c r="G12" i="2"/>
  <c r="E12" i="2"/>
  <c r="D12" i="2"/>
  <c r="C12" i="2"/>
  <c r="A12" i="2"/>
  <c r="B6" i="2"/>
  <c r="E72" i="1"/>
  <c r="D72" i="1"/>
  <c r="F8" i="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2" i="1" s="1"/>
  <c r="F7" i="1"/>
  <c r="D5" i="4" l="1"/>
  <c r="D6" i="2"/>
  <c r="D4" i="4"/>
  <c r="D13" i="3"/>
  <c r="E6" i="3"/>
  <c r="C7" i="3" l="1"/>
  <c r="F6" i="3"/>
  <c r="D29" i="3" l="1"/>
  <c r="D30" i="3" s="1"/>
  <c r="D31" i="3" s="1"/>
  <c r="D32" i="3" s="1"/>
  <c r="D33" i="3" s="1"/>
  <c r="D34" i="3" s="1"/>
  <c r="D35" i="3" s="1"/>
  <c r="D36" i="3" s="1"/>
  <c r="A28" i="3"/>
  <c r="E7" i="3"/>
  <c r="C8" i="3" l="1"/>
  <c r="F7" i="3"/>
  <c r="D40" i="3" l="1"/>
  <c r="D41" i="3" s="1"/>
  <c r="D42" i="3" s="1"/>
  <c r="D43" i="3" s="1"/>
  <c r="D44" i="3" s="1"/>
  <c r="D45" i="3" s="1"/>
  <c r="D46" i="3" s="1"/>
  <c r="D47" i="3" s="1"/>
  <c r="A39" i="3"/>
  <c r="E8" i="3"/>
  <c r="C9" i="3" l="1"/>
  <c r="F8" i="3"/>
  <c r="D51" i="3" l="1"/>
  <c r="D52" i="3" s="1"/>
  <c r="D53" i="3" s="1"/>
  <c r="D54" i="3" s="1"/>
  <c r="D55" i="3" s="1"/>
  <c r="D56" i="3" s="1"/>
  <c r="D57" i="3" s="1"/>
  <c r="D58" i="3" s="1"/>
  <c r="A50" i="3"/>
  <c r="E9" i="3"/>
  <c r="C10" i="3" l="1"/>
  <c r="F9" i="3"/>
  <c r="D62" i="3" l="1"/>
  <c r="D63" i="3" s="1"/>
  <c r="D64" i="3" s="1"/>
  <c r="D65" i="3" s="1"/>
  <c r="D66" i="3" s="1"/>
  <c r="D67" i="3" s="1"/>
  <c r="D68" i="3" s="1"/>
  <c r="D69" i="3" s="1"/>
  <c r="A61" i="3"/>
  <c r="E10" i="3"/>
  <c r="C11" i="3" l="1"/>
  <c r="F10" i="3"/>
  <c r="D73" i="3" l="1"/>
  <c r="D74" i="3" s="1"/>
  <c r="D75" i="3" s="1"/>
  <c r="D76" i="3" s="1"/>
  <c r="D77" i="3" s="1"/>
  <c r="D78" i="3" s="1"/>
  <c r="D79" i="3" s="1"/>
  <c r="D80" i="3" s="1"/>
  <c r="A72" i="3"/>
  <c r="E11" i="3"/>
  <c r="C12" i="3" l="1"/>
  <c r="F11" i="3"/>
  <c r="D84" i="3" l="1"/>
  <c r="D85" i="3" s="1"/>
  <c r="D86" i="3" s="1"/>
  <c r="D87" i="3" s="1"/>
  <c r="D88" i="3" s="1"/>
  <c r="D89" i="3" s="1"/>
  <c r="D90" i="3" s="1"/>
  <c r="D91" i="3" s="1"/>
  <c r="A83" i="3"/>
  <c r="E12" i="3"/>
  <c r="F12" i="3" l="1"/>
  <c r="E13" i="3"/>
</calcChain>
</file>

<file path=xl/sharedStrings.xml><?xml version="1.0" encoding="utf-8"?>
<sst xmlns="http://schemas.openxmlformats.org/spreadsheetml/2006/main" count="336" uniqueCount="192">
  <si>
    <t>BAI Express – Movimentos do Cartão (Cartão 9)</t>
  </si>
  <si>
    <t>Conta: 5048 08******617 3  |  Débito  |  Válido até 03/30</t>
  </si>
  <si>
    <t>SALDO INICIAL</t>
  </si>
  <si>
    <t>← Insira aqui o saldo inicial (valor em Kz)</t>
  </si>
  <si>
    <t>Data</t>
  </si>
  <si>
    <t>Descrição (Banco)</t>
  </si>
  <si>
    <t>Descrição Pessoal (Entrada/Saída)</t>
  </si>
  <si>
    <t>Entrada (Kz)</t>
  </si>
  <si>
    <t>Saída (Kz)</t>
  </si>
  <si>
    <t>Saldo (Kz)</t>
  </si>
  <si>
    <t>Observações</t>
  </si>
  <si>
    <t>24-07-2026</t>
  </si>
  <si>
    <t>Juros vencidos</t>
  </si>
  <si>
    <t>Imposto s/Juros</t>
  </si>
  <si>
    <t>Imposto sobre juros</t>
  </si>
  <si>
    <t>Comissao_gest_M</t>
  </si>
  <si>
    <t>Comissão de gestão mensal</t>
  </si>
  <si>
    <t>IVA sobre comis</t>
  </si>
  <si>
    <t>IVA sobre comissão</t>
  </si>
  <si>
    <t>27-07-2026</t>
  </si>
  <si>
    <t>Fecho TPA 00004</t>
  </si>
  <si>
    <t>Fecho de terminal de pagamento (TPA)</t>
  </si>
  <si>
    <t>Matrícula(s)</t>
  </si>
  <si>
    <t>Comissao-Fecho</t>
  </si>
  <si>
    <t>Comissão de fecho TPA</t>
  </si>
  <si>
    <t>30-07-2026</t>
  </si>
  <si>
    <t>Transf. pelo NI</t>
  </si>
  <si>
    <t>Transferência recebida (NI)</t>
  </si>
  <si>
    <t>31-07-2026</t>
  </si>
  <si>
    <t>Comissao Alug T</t>
  </si>
  <si>
    <t>Comissão aluguer TPA</t>
  </si>
  <si>
    <t>IVA Comissao Al</t>
  </si>
  <si>
    <t>IVA comissão aluguer</t>
  </si>
  <si>
    <t>Imposto de Selo</t>
  </si>
  <si>
    <t>Imposto de selo</t>
  </si>
  <si>
    <t>Juros devedores</t>
  </si>
  <si>
    <t>02-08-2026</t>
  </si>
  <si>
    <t>03-08-2026</t>
  </si>
  <si>
    <t>TRF KWiK de MAN</t>
  </si>
  <si>
    <t>Transferência KWiK recebida</t>
  </si>
  <si>
    <t>06-08-2026</t>
  </si>
  <si>
    <t>ATM-MCX504808*2</t>
  </si>
  <si>
    <t>Levantamento ATM</t>
  </si>
  <si>
    <t>TPA-MCX504808**</t>
  </si>
  <si>
    <t>Pagamento com cartão</t>
  </si>
  <si>
    <t>Gráfica Tamaco - panfletos</t>
  </si>
  <si>
    <t>07-08-2026</t>
  </si>
  <si>
    <t>08-08-2026</t>
  </si>
  <si>
    <t>ATM-MCX504808*3</t>
  </si>
  <si>
    <t>Levantamento p/ pagamento em dinheiro</t>
  </si>
  <si>
    <t>09-08-2026</t>
  </si>
  <si>
    <t>Maxi - Produtos de higiene</t>
  </si>
  <si>
    <t>Sistec - Cartuchos Impressora</t>
  </si>
  <si>
    <t>Compra saco de gesso e lixas</t>
  </si>
  <si>
    <t>11-08-2026</t>
  </si>
  <si>
    <t>Compra Rolos p/ multicaixa</t>
  </si>
  <si>
    <t>12-08-2026</t>
  </si>
  <si>
    <t>13-08-2026</t>
  </si>
  <si>
    <t>Caderno(s) Escolar(s)</t>
  </si>
  <si>
    <t>Matrícula(s) + 100mil ATL</t>
  </si>
  <si>
    <t>Sonangol Combustível Viatura</t>
  </si>
  <si>
    <t>14-08-2026</t>
  </si>
  <si>
    <t>A reembolsar</t>
  </si>
  <si>
    <t>17-08-2026</t>
  </si>
  <si>
    <t>Serviço Especial</t>
  </si>
  <si>
    <t>Pagmto ZAP Fibra - internet</t>
  </si>
  <si>
    <t>ATM-MCX504808**3</t>
  </si>
  <si>
    <t>TOTAIS</t>
  </si>
  <si>
    <t>Nota: Células a amarelo são campos de input. Preencha a coluna 'Descrição Pessoal' e 'Observações'. O saldo é calculado automaticamente. Adicione novas linhas nas células amarelas abaixo dos movimentos existentes.</t>
  </si>
  <si>
    <t>ARQUIVO DE FATURAS – PAGAMENTOS CARTÃO BAI EXPRESS (Cartão 9)</t>
  </si>
  <si>
    <t xml:space="preserve">École Consulaire du Congo (Brazzaville) de Luanda  </t>
  </si>
  <si>
    <t>RESUMO</t>
  </si>
  <si>
    <t>Total documentos</t>
  </si>
  <si>
    <t>Total valor (KZ)</t>
  </si>
  <si>
    <t>Nº Interno</t>
  </si>
  <si>
    <t>Linha Mov.</t>
  </si>
  <si>
    <t>Descrição / Detalhe</t>
  </si>
  <si>
    <t>Fornecedor</t>
  </si>
  <si>
    <t>Valor (KZ)</t>
  </si>
  <si>
    <t>Nº Fatura Fornecedor</t>
  </si>
  <si>
    <t>Gráfica TAMACO</t>
  </si>
  <si>
    <t>Maxi</t>
  </si>
  <si>
    <t>FR2626S2474N/39811</t>
  </si>
  <si>
    <t>Sistec</t>
  </si>
  <si>
    <t>FR4726S449N/3811</t>
  </si>
  <si>
    <t>Delicia Quihango</t>
  </si>
  <si>
    <t>Prestige Horeca</t>
  </si>
  <si>
    <t>FR-2M.2026H/1572</t>
  </si>
  <si>
    <t>Sonangol</t>
  </si>
  <si>
    <t>FR0526S50752N/6028</t>
  </si>
  <si>
    <t>ZAP Fibra</t>
  </si>
  <si>
    <t>INSTRUÇÕES</t>
  </si>
  <si>
    <t>1) Na coluna "Linha Mov." indique o número da linha da planilha Movimentos onde está o pagamento TPA/cartão (ex: 28, 31, 32…).  2) Data, Descrição Banco, Detalhe, Valor e Observações são preenchidos automaticamente a partir de Movimentos.  3) Preencha manualmente (amarelo): Fornecedor e Nº Fatura Fornecedor.  4) O Nº Interno (CX-001, CX-002…) gera-se automaticamente — escreva-o na fatura física.  5) Para um novo pagamento: adicione-o primeiro em Movimentos; depois indique o nº da linha aqui.  6) Apenas pagamentos TPA/cartão (não ATM, comissões nem transferências recebidas).</t>
  </si>
  <si>
    <t>FUNDO DE MANEIO – ESCOLA</t>
  </si>
  <si>
    <t>Cada levantamento ATM cria um bloco. Os pagamentos em dinheiro são descontados desse valor.</t>
  </si>
  <si>
    <t>LEVANTAMENTOS (ATM)</t>
  </si>
  <si>
    <t>Valor Levantado (Kz)</t>
  </si>
  <si>
    <t>Saldo Anterior (Kz)</t>
  </si>
  <si>
    <t>Já Gasto (Kz)</t>
  </si>
  <si>
    <t>Saldo Restante (Kz)</t>
  </si>
  <si>
    <t>Estado</t>
  </si>
  <si>
    <t>TOTAL</t>
  </si>
  <si>
    <t>PAGAMENTOS EM DINHEIRO (descontados de cada levantamento)</t>
  </si>
  <si>
    <t>Descrição do pagamento</t>
  </si>
  <si>
    <t>Valor (Kz)</t>
  </si>
  <si>
    <t>Saldo restante do levantamento</t>
  </si>
  <si>
    <t>Quem recebeu</t>
  </si>
  <si>
    <t>▶ Levantamento 06-08-2026  —  46 000 Kz</t>
  </si>
  <si>
    <t>Pagamento mão-de-obra pintor</t>
  </si>
  <si>
    <t>Pedro</t>
  </si>
  <si>
    <t>Pagamento transporte pintor</t>
  </si>
  <si>
    <t>Total gasto neste levantamento</t>
  </si>
  <si>
    <t>Transporte funcionário</t>
  </si>
  <si>
    <t>Compra Braçadeiras e fio de para esteiras</t>
  </si>
  <si>
    <t>Paulino Nfinda</t>
  </si>
  <si>
    <t>Transporte p/ entrega de panfletos GAMEK</t>
  </si>
  <si>
    <t>Francisco Kativa</t>
  </si>
  <si>
    <t>Compra Saco Cimento Cola e transporte</t>
  </si>
  <si>
    <t>Transporte p/ serralheiro</t>
  </si>
  <si>
    <t>Transporte funcionário p/ compra do gesso e etc</t>
  </si>
  <si>
    <t>Transporte p/ deslocação técnico do gerador</t>
  </si>
  <si>
    <t>Flávio</t>
  </si>
  <si>
    <t>Adiantamento p/ pintor</t>
  </si>
  <si>
    <t>Fatura 142 - CASA COMERCIAL</t>
  </si>
  <si>
    <t>Fatura 142</t>
  </si>
  <si>
    <t>Botija de gás</t>
  </si>
  <si>
    <t>Compra de Saco Arroz</t>
  </si>
  <si>
    <t>FR2026/21650</t>
  </si>
  <si>
    <t>Transporte p/ funcionário compras</t>
  </si>
  <si>
    <t>▶ Levantamento __-__-____  —  (preencher data/valor no resumo e ligar D95 a Bxx+Cxx)</t>
  </si>
  <si>
    <t>▶ Levantamento __-__-____  —  (preencher data/valor no resumo e ligar D106 a Bxx+Cxx)</t>
  </si>
  <si>
    <t>COMO USAR</t>
  </si>
  <si>
    <t>1. Em cada bloco (levantamento) preencha as linhas amarelas: Data, Descrição, Valor, Quem recebeu e Observações.</t>
  </si>
  <si>
    <t>2. O "Saldo Anterior" é o que sobrou do levantamento anterior e junta-se automaticamente ao novo levantamento.</t>
  </si>
  <si>
    <t>3. O "Saldo restante do levantamento" desce à medida que regista pagamentos. Quando chegar a zero está esgotado.</t>
  </si>
  <si>
    <t>4. No topo: Valor Levantado | Saldo Anterior (transporte) | Já Gasto | Saldo Restante (acumulado) | Estado.</t>
  </si>
  <si>
    <t>5. Novo levantamento ATM: adicione linha no resumo (antes do TOTAL), preencha um bloco vazio, substitua o "0" da 1ª fórmula de saldo por Bxx+Cxx do resumo, e atualize Já Gasto do resumo para o intervalo do bloco.</t>
  </si>
  <si>
    <t>6. Existem 2 blocos vazios preparados para futuros levantamentos.</t>
  </si>
  <si>
    <t>Resumo por Mês – Cartão BAI Express</t>
  </si>
  <si>
    <t>Mês</t>
  </si>
  <si>
    <t>Total Entradas (Kz)</t>
  </si>
  <si>
    <t>Total Saídas (Kz)</t>
  </si>
  <si>
    <t>Saldo do Mês (Kz)</t>
  </si>
  <si>
    <t>Nº Movimentos</t>
  </si>
  <si>
    <t>Julho 2026</t>
  </si>
  <si>
    <t>Agosto 2026</t>
  </si>
  <si>
    <t>Setembro 2026</t>
  </si>
  <si>
    <t>Outubro 2026</t>
  </si>
  <si>
    <t>Novembro 2026</t>
  </si>
  <si>
    <t>Dezembro 2026</t>
  </si>
  <si>
    <t>Janeiro 2027</t>
  </si>
  <si>
    <t>Fevereiro 2027</t>
  </si>
  <si>
    <t>Março 2027</t>
  </si>
  <si>
    <t>Abril 2027</t>
  </si>
  <si>
    <t>Maio 2027</t>
  </si>
  <si>
    <t>Junho 2027</t>
  </si>
  <si>
    <t>Instruções:</t>
  </si>
  <si>
    <t>1. Na folha 'Movimentos' preencha o Saldo Inicial (célula B4) com o valor real no início do período.
2. Preencha a coluna 'Descrição Pessoal' para detalhar a origem/destino do dinheiro.
3. Para adicionar novos movimentos, use as linhas amarelas vazias (coloque a data no formato DD-MM-AAAA).
4. O saldo atualiza automaticamente. A folha 'Resumo Mensal' calcula totais por mês.
5. Para meses futuros, pode continuar a adicionar linhas na folha Movimentos; o resumo pode ser atualizado manualmente.</t>
  </si>
  <si>
    <t>Como usar esta planilha</t>
  </si>
  <si>
    <t>1. Saldo Inicial</t>
  </si>
  <si>
    <t>Na folha Movimentos, célula B4 (amarela), introduza o saldo que a conta tinha antes da primeira transação listada (24-07-2026).</t>
  </si>
  <si>
    <t>2. Descrição Pessoal</t>
  </si>
  <si>
    <t>Na coluna C, escreva uma descrição clara da entrada ou saída (ex: 'Pagamento a fornecedor X', 'Levantamento para caixa', 'Recebimento de cliente Y').</t>
  </si>
  <si>
    <t>3. Novos movimentos</t>
  </si>
  <si>
    <t>Use as linhas amarelas abaixo dos movimentos já preenchidos. Preencha Data, Descrição Banco, Descrição Pessoal, Entrada ou Saída. O Saldo calcula-se sozinho.</t>
  </si>
  <si>
    <t>4. Formato da Data</t>
  </si>
  <si>
    <t>Use sempre DD-MM-AAAA (ex: 15-08-2026) para que os filtros e resumos funcionem corretamente.</t>
  </si>
  <si>
    <t>5. Entradas vs Saídas</t>
  </si>
  <si>
    <t>Coloque valores positivos apenas na coluna Entrada (créditos) ou Saída (débitos). Não coloque o sinal negativo.</t>
  </si>
  <si>
    <t>6. Resumo Mensal</t>
  </si>
  <si>
    <t>A folha Resumo Mensal mostra automaticamente os totais de Julho e Agosto. Para meses seguintes, preencha manualmente ou continue a adicionar dados na folha Movimentos.</t>
  </si>
  <si>
    <t>7. Códigos do Banco</t>
  </si>
  <si>
    <t>Fecho TPA = fecho de terminal de pagamento; Comissao-Fecho = comissão do fecho; ATM = levantamento em caixa; Transf. pelo NI / TRF KWiK = transferências recebidas.</t>
  </si>
  <si>
    <t>8. Preparação para o futuro</t>
  </si>
  <si>
    <t>Há 40 linhas vazias prontas. Se precisar de mais, basta copiar a fórmula da coluna Saldo para as linhas seguintes.</t>
  </si>
  <si>
    <t>9. Fundo de Maneio</t>
  </si>
  <si>
    <t>Existe uma nova folha "Fundo de Maneio" onde os levantamentos ATM destinados ao fundo de maneio da Escola são registados como entradas. Use as linhas amarelas dessa folha para registar todas as saídas (gastos) do dinheiro do fundo. O saldo do fundo calcula-se automaticamente.</t>
  </si>
  <si>
    <t>Compra pão e Sheltox p/ seguranças</t>
  </si>
  <si>
    <t>Alberto Capolo</t>
  </si>
  <si>
    <t>Compra 2 pincéis pintura</t>
  </si>
  <si>
    <t>Adiantamento p/ pintor (táxi)</t>
  </si>
  <si>
    <t>Compra esfregona p/ limpeza recinto escolar</t>
  </si>
  <si>
    <t>MB-Transf.p/NI</t>
  </si>
  <si>
    <t>Transferência efectuada</t>
  </si>
  <si>
    <t>Pagamto Curso Intensivo Inês</t>
  </si>
  <si>
    <t>ATM-MCX504808*4</t>
  </si>
  <si>
    <t>Fundo maneio Evento 50 anos</t>
  </si>
  <si>
    <t>FNK - Peixe p/ funcionários</t>
  </si>
  <si>
    <t>Kero - Compra funcionários</t>
  </si>
  <si>
    <t>CM S22026/18259</t>
  </si>
  <si>
    <t>FRS22026/9376</t>
  </si>
  <si>
    <t>Compras Evento 50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</si>
</sst>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yyyy\-mm\-dd"/>
  </numFmts>
  <fonts count="33" x14ac:knownFonts="1">
    <font>
      <sz val="11"/>
      <color theme="1"/>
      <name val="Calibri"/>
      <family val="2"/>
      <charset val="1"/>
    </font>
    <font>
      <b/>
      <sz val="16"/>
      <color rgb="FF1F4E79"/>
      <name val="Arial"/>
      <family val="2"/>
    </font>
    <font>
      <i/>
      <sz val="10"/>
      <color rgb="FF666666"/>
      <name val="Arial"/>
      <family val="2"/>
    </font>
    <font>
      <b/>
      <sz val="11"/>
      <name val="Arial"/>
      <family val="2"/>
    </font>
    <font>
      <sz val="10"/>
      <color rgb="FF0000FF"/>
      <name val="Arial"/>
      <family val="2"/>
    </font>
    <font>
      <i/>
      <sz val="9"/>
      <color rgb="FF666666"/>
      <name val="Arial"/>
      <family val="2"/>
    </font>
    <font>
      <b/>
      <sz val="12"/>
      <color rgb="FFFFFFFF"/>
      <name val="Arial"/>
      <family val="2"/>
    </font>
    <font>
      <sz val="10"/>
      <name val="Arial"/>
      <family val="2"/>
    </font>
    <font>
      <sz val="10"/>
      <color rgb="FFCC0000"/>
      <name val="Arial"/>
      <family val="2"/>
    </font>
    <font>
      <sz val="10"/>
      <color rgb="FF000000"/>
      <name val="Arial"/>
      <family val="2"/>
    </font>
    <font>
      <sz val="10"/>
      <color rgb="FF006600"/>
      <name val="Arial"/>
      <family val="2"/>
    </font>
    <font>
      <b/>
      <sz val="10"/>
      <color rgb="FF000000"/>
      <name val="Arial"/>
      <family val="2"/>
      <charset val="1"/>
    </font>
    <font>
      <sz val="10"/>
      <color rgb="FF0000FF"/>
      <name val="Arial"/>
      <family val="2"/>
      <charset val="1"/>
    </font>
    <font>
      <b/>
      <sz val="11"/>
      <color rgb="FF006600"/>
      <name val="Arial"/>
      <family val="2"/>
    </font>
    <font>
      <b/>
      <sz val="11"/>
      <color rgb="FFCC0000"/>
      <name val="Arial"/>
      <family val="2"/>
    </font>
    <font>
      <b/>
      <sz val="14"/>
      <color rgb="FFFFFFFF"/>
      <name val="Arial"/>
      <family val="2"/>
    </font>
    <font>
      <i/>
      <sz val="9"/>
      <name val="Arial"/>
      <family val="2"/>
      <charset val="1"/>
    </font>
    <font>
      <sz val="9"/>
      <name val="Arial"/>
      <family val="2"/>
    </font>
    <font>
      <b/>
      <sz val="10"/>
      <name val="Arial"/>
      <family val="2"/>
    </font>
    <font>
      <b/>
      <sz val="10"/>
      <color rgb="FFFFFFFF"/>
      <name val="Arial"/>
      <family val="2"/>
    </font>
    <font>
      <i/>
      <sz val="9"/>
      <name val="Arial"/>
      <family val="2"/>
    </font>
    <font>
      <b/>
      <sz val="13"/>
      <color rgb="FF1F4E79"/>
      <name val="Arial"/>
      <family val="2"/>
    </font>
    <font>
      <b/>
      <sz val="12"/>
      <name val="Arial"/>
      <family val="2"/>
    </font>
    <font>
      <b/>
      <sz val="11"/>
      <color rgb="FF1F4E79"/>
      <name val="Arial"/>
      <family val="2"/>
    </font>
    <font>
      <b/>
      <sz val="10"/>
      <color rgb="FF0000FF"/>
      <name val="Arial"/>
      <family val="2"/>
      <charset val="1"/>
    </font>
    <font>
      <sz val="11"/>
      <color rgb="FF0000FF"/>
      <name val="Arial"/>
      <family val="2"/>
    </font>
    <font>
      <sz val="11"/>
      <name val="Arial"/>
      <family val="2"/>
    </font>
    <font>
      <b/>
      <sz val="11"/>
      <name val="Arial"/>
      <family val="2"/>
    </font>
    <font>
      <sz val="11"/>
      <name val="Calibri"/>
      <family val="2"/>
    </font>
    <font>
      <b/>
      <sz val="12"/>
      <name val="Arial"/>
      <family val="2"/>
    </font>
    <font>
      <sz val="9"/>
      <name val="Arial"/>
      <family val="2"/>
    </font>
    <font>
      <sz val="10"/>
      <color theme="1"/>
      <name val="Arial"/>
      <family val="2"/>
    </font>
    <font>
      <sz val="11"/>
      <color rgb="FF0000FF"/>
      <name val="Arial"/>
      <family val="2"/>
    </font>
  </fonts>
  <fills count="16">
    <fill>
      <patternFill patternType="none"/>
    </fill>
    <fill>
      <patternFill patternType="gray125"/>
    </fill>
    <fill>
      <patternFill patternType="solid">
        <fgColor rgb="FFFFF2CC"/>
        <bgColor rgb="FFFCE4D6"/>
      </patternFill>
    </fill>
    <fill>
      <patternFill patternType="solid">
        <fgColor rgb="FF1F4E79"/>
        <bgColor rgb="FF003366"/>
      </patternFill>
    </fill>
    <fill>
      <patternFill patternType="solid">
        <fgColor rgb="FFFCE4D6"/>
        <bgColor rgb="FFFFF2CC"/>
      </patternFill>
    </fill>
    <fill>
      <patternFill patternType="solid">
        <fgColor rgb="FFE2EFDA"/>
        <bgColor rgb="FFDDEBF7"/>
      </patternFill>
    </fill>
    <fill>
      <patternFill patternType="solid">
        <fgColor rgb="FFDDEBF7"/>
        <bgColor rgb="FFD9E2F3"/>
      </patternFill>
    </fill>
    <fill>
      <patternFill patternType="solid">
        <fgColor rgb="FF4472C4"/>
        <bgColor rgb="FF2E75B6"/>
      </patternFill>
    </fill>
    <fill>
      <patternFill patternType="solid">
        <fgColor rgb="FFC6EFCE"/>
        <bgColor rgb="FFE2EFDA"/>
      </patternFill>
    </fill>
    <fill>
      <patternFill patternType="solid">
        <fgColor rgb="FFFFFF99"/>
        <bgColor rgb="FFFFF2CC"/>
      </patternFill>
    </fill>
    <fill>
      <patternFill patternType="solid">
        <fgColor rgb="FFD9E2F3"/>
        <bgColor rgb="FFDDEBF7"/>
      </patternFill>
    </fill>
    <fill>
      <patternFill patternType="solid">
        <fgColor rgb="FF2E75B6"/>
        <bgColor rgb="FF4472C4"/>
      </patternFill>
    </fill>
    <fill>
      <patternFill patternType="solid">
        <fgColor rgb="FFF2F2F2"/>
        <bgColor rgb="FFE2EFDA"/>
      </patternFill>
    </fill>
    <fill>
      <patternFill patternType="solid">
        <fgColor rgb="FFFFFF99"/>
      </patternFill>
    </fill>
    <fill>
      <patternFill patternType="solid">
        <fgColor rgb="FFD9E2F3"/>
      </patternFill>
    </fill>
    <fill>
      <patternFill patternType="solid">
        <fgColor rgb="FFF2F2F2"/>
      </patternFill>
    </fill>
  </fills>
  <borders count="7">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bottom/>
      <diagonal/>
    </border>
  </borders>
  <cellStyleXfs count="1">
    <xf numFmtId="0" fontId="0" fillId="0" borderId="0"/>
  </cellStyleXfs>
  <cellXfs count="92">
    <xf numFmtId="0" fontId="0" fillId="0" borderId="0" xfId="0"/>
    <xf numFmtId="0" fontId="3" fillId="2" borderId="0" xfId="0" applyFont="1" applyFill="1"/>
    <xf numFmtId="4" fontId="4" fillId="2" borderId="0" xfId="0" applyNumberFormat="1" applyFont="1" applyFill="1"/>
    <xf numFmtId="0" fontId="6"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xf numFmtId="0" fontId="4" fillId="2" borderId="1" xfId="0" applyFont="1" applyFill="1" applyBorder="1" applyAlignment="1">
      <alignment horizontal="left" vertical="center" wrapText="1"/>
    </xf>
    <xf numFmtId="4" fontId="7" fillId="0" borderId="1" xfId="0" applyNumberFormat="1" applyFont="1" applyBorder="1" applyAlignment="1">
      <alignment horizontal="right" vertical="center"/>
    </xf>
    <xf numFmtId="4" fontId="8" fillId="4" borderId="1" xfId="0" applyNumberFormat="1" applyFont="1" applyFill="1" applyBorder="1" applyAlignment="1">
      <alignment horizontal="right" vertical="center"/>
    </xf>
    <xf numFmtId="4" fontId="9" fillId="0" borderId="1" xfId="0" applyNumberFormat="1" applyFont="1" applyBorder="1" applyAlignment="1">
      <alignment horizontal="right" vertical="center"/>
    </xf>
    <xf numFmtId="4" fontId="10" fillId="5" borderId="1" xfId="0" applyNumberFormat="1" applyFont="1" applyFill="1" applyBorder="1" applyAlignment="1">
      <alignment horizontal="right" vertical="center"/>
    </xf>
    <xf numFmtId="4" fontId="0" fillId="0" borderId="0" xfId="0" applyNumberFormat="1"/>
    <xf numFmtId="4" fontId="11" fillId="0" borderId="1" xfId="0" applyNumberFormat="1" applyFont="1" applyBorder="1" applyAlignment="1">
      <alignment horizontal="right" vertical="center"/>
    </xf>
    <xf numFmtId="0" fontId="12" fillId="2" borderId="1" xfId="0" applyFont="1" applyFill="1" applyBorder="1"/>
    <xf numFmtId="0" fontId="12" fillId="2" borderId="1" xfId="0" applyFont="1" applyFill="1" applyBorder="1" applyAlignment="1">
      <alignment horizontal="left" vertical="center" wrapText="1"/>
    </xf>
    <xf numFmtId="164" fontId="4" fillId="2" borderId="1" xfId="0" applyNumberFormat="1" applyFont="1" applyFill="1" applyBorder="1" applyAlignment="1">
      <alignment horizontal="center" vertical="center" wrapText="1"/>
    </xf>
    <xf numFmtId="164" fontId="12" fillId="2" borderId="1" xfId="0" applyNumberFormat="1" applyFont="1" applyFill="1" applyBorder="1" applyAlignment="1">
      <alignment horizontal="center" vertical="center" wrapText="1"/>
    </xf>
    <xf numFmtId="0" fontId="3" fillId="6" borderId="1" xfId="0" applyFont="1" applyFill="1" applyBorder="1"/>
    <xf numFmtId="0" fontId="0" fillId="6" borderId="1" xfId="0" applyFill="1" applyBorder="1"/>
    <xf numFmtId="4" fontId="13" fillId="6" borderId="1" xfId="0" applyNumberFormat="1" applyFont="1" applyFill="1" applyBorder="1"/>
    <xf numFmtId="4" fontId="14" fillId="6" borderId="1" xfId="0" applyNumberFormat="1" applyFont="1" applyFill="1" applyBorder="1"/>
    <xf numFmtId="4" fontId="3" fillId="6" borderId="1" xfId="0" applyNumberFormat="1" applyFont="1" applyFill="1" applyBorder="1"/>
    <xf numFmtId="0" fontId="18" fillId="0" borderId="0" xfId="0" applyFont="1"/>
    <xf numFmtId="0" fontId="7" fillId="0" borderId="2" xfId="0" applyFont="1" applyBorder="1"/>
    <xf numFmtId="0" fontId="7" fillId="8" borderId="2" xfId="0" applyFont="1" applyFill="1" applyBorder="1"/>
    <xf numFmtId="4" fontId="7" fillId="8" borderId="2" xfId="0" applyNumberFormat="1" applyFont="1" applyFill="1" applyBorder="1"/>
    <xf numFmtId="0" fontId="19" fillId="7"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165" fontId="7" fillId="8" borderId="2" xfId="0" applyNumberFormat="1" applyFont="1" applyFill="1" applyBorder="1" applyAlignment="1">
      <alignment horizontal="center" vertical="center" wrapText="1"/>
    </xf>
    <xf numFmtId="0" fontId="7" fillId="8"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4" fontId="7" fillId="8" borderId="2" xfId="0" applyNumberFormat="1" applyFont="1" applyFill="1" applyBorder="1" applyAlignment="1">
      <alignment horizontal="right" vertical="center" wrapText="1"/>
    </xf>
    <xf numFmtId="0" fontId="7" fillId="9" borderId="2" xfId="0" applyFont="1" applyFill="1" applyBorder="1" applyAlignment="1">
      <alignment horizontal="right" vertical="center" wrapText="1"/>
    </xf>
    <xf numFmtId="165" fontId="7" fillId="8" borderId="2" xfId="0" applyNumberFormat="1" applyFont="1" applyFill="1" applyBorder="1"/>
    <xf numFmtId="0" fontId="7" fillId="9" borderId="2" xfId="0" applyFont="1" applyFill="1" applyBorder="1"/>
    <xf numFmtId="4" fontId="7" fillId="8" borderId="2" xfId="0" applyNumberFormat="1" applyFont="1" applyFill="1" applyBorder="1" applyAlignment="1">
      <alignment horizontal="right"/>
    </xf>
    <xf numFmtId="0" fontId="3" fillId="0" borderId="0" xfId="0" applyFont="1"/>
    <xf numFmtId="0" fontId="22" fillId="0" borderId="0" xfId="0" applyFont="1"/>
    <xf numFmtId="0" fontId="19" fillId="7" borderId="2" xfId="0" applyFont="1" applyFill="1" applyBorder="1" applyAlignment="1">
      <alignment horizontal="center" wrapText="1"/>
    </xf>
    <xf numFmtId="0" fontId="7" fillId="0" borderId="2" xfId="0" applyFont="1" applyBorder="1" applyAlignment="1">
      <alignment horizontal="center" vertical="center" wrapText="1"/>
    </xf>
    <xf numFmtId="3" fontId="7" fillId="0" borderId="2" xfId="0" applyNumberFormat="1" applyFont="1" applyBorder="1" applyAlignment="1">
      <alignment horizontal="center" vertical="center" wrapText="1"/>
    </xf>
    <xf numFmtId="3" fontId="7" fillId="8" borderId="2" xfId="0"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164" fontId="4" fillId="9" borderId="1" xfId="0" applyNumberFormat="1" applyFont="1" applyFill="1" applyBorder="1" applyAlignment="1">
      <alignment horizontal="center" vertical="center" wrapText="1"/>
    </xf>
    <xf numFmtId="0" fontId="12" fillId="9" borderId="1" xfId="0" applyFont="1" applyFill="1" applyBorder="1" applyAlignment="1">
      <alignment horizontal="left" vertical="center" wrapText="1"/>
    </xf>
    <xf numFmtId="4" fontId="4" fillId="9" borderId="1" xfId="0" applyNumberFormat="1"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4" fillId="9" borderId="1" xfId="0" applyFont="1" applyFill="1" applyBorder="1" applyAlignment="1">
      <alignment horizontal="left" vertical="center" wrapText="1"/>
    </xf>
    <xf numFmtId="164" fontId="12" fillId="9" borderId="1" xfId="0" applyNumberFormat="1" applyFont="1" applyFill="1" applyBorder="1" applyAlignment="1">
      <alignment horizontal="center" vertical="center" wrapText="1"/>
    </xf>
    <xf numFmtId="4" fontId="18" fillId="4" borderId="1" xfId="0" applyNumberFormat="1" applyFont="1" applyFill="1" applyBorder="1"/>
    <xf numFmtId="0" fontId="0" fillId="4" borderId="1" xfId="0" applyFill="1" applyBorder="1"/>
    <xf numFmtId="4" fontId="24" fillId="9" borderId="1" xfId="0" applyNumberFormat="1" applyFont="1" applyFill="1" applyBorder="1" applyAlignment="1">
      <alignment horizontal="center" vertical="center" wrapText="1"/>
    </xf>
    <xf numFmtId="0" fontId="18" fillId="0" borderId="1" xfId="0" applyFont="1" applyBorder="1"/>
    <xf numFmtId="0" fontId="7" fillId="0" borderId="1" xfId="0" applyFont="1" applyBorder="1"/>
    <xf numFmtId="0" fontId="5" fillId="0" borderId="0" xfId="0" applyFont="1"/>
    <xf numFmtId="0" fontId="23" fillId="0" borderId="0" xfId="0" applyFont="1"/>
    <xf numFmtId="0" fontId="7" fillId="0" borderId="0" xfId="0" applyFont="1"/>
    <xf numFmtId="0" fontId="25" fillId="13" borderId="5" xfId="0" applyFont="1" applyFill="1" applyBorder="1"/>
    <xf numFmtId="3" fontId="25" fillId="13" borderId="5" xfId="0" applyNumberFormat="1" applyFont="1" applyFill="1" applyBorder="1"/>
    <xf numFmtId="0" fontId="27" fillId="10" borderId="5" xfId="0" applyFont="1" applyFill="1" applyBorder="1"/>
    <xf numFmtId="0" fontId="28" fillId="0" borderId="6" xfId="0" applyFont="1" applyBorder="1"/>
    <xf numFmtId="3" fontId="26" fillId="15" borderId="5" xfId="0" applyNumberFormat="1" applyFont="1" applyFill="1" applyBorder="1"/>
    <xf numFmtId="3" fontId="27" fillId="0" borderId="6" xfId="0" applyNumberFormat="1" applyFont="1" applyBorder="1"/>
    <xf numFmtId="166" fontId="25" fillId="13" borderId="5" xfId="0" applyNumberFormat="1" applyFont="1" applyFill="1" applyBorder="1"/>
    <xf numFmtId="0" fontId="31" fillId="0" borderId="0" xfId="0" applyFont="1"/>
    <xf numFmtId="164" fontId="25" fillId="13" borderId="5" xfId="0" applyNumberFormat="1" applyFont="1" applyFill="1" applyBorder="1"/>
    <xf numFmtId="0" fontId="32" fillId="13" borderId="5" xfId="0" applyFont="1" applyFill="1" applyBorder="1"/>
    <xf numFmtId="0" fontId="0" fillId="0" borderId="0" xfId="0"/>
    <xf numFmtId="0" fontId="1" fillId="0" borderId="0" xfId="0" applyFont="1" applyAlignment="1">
      <alignment horizontal="left" vertical="center"/>
    </xf>
    <xf numFmtId="0" fontId="0" fillId="0" borderId="0" xfId="0"/>
    <xf numFmtId="0" fontId="2" fillId="0" borderId="0" xfId="0" applyFont="1"/>
    <xf numFmtId="0" fontId="5" fillId="0" borderId="0" xfId="0" applyFont="1"/>
    <xf numFmtId="0" fontId="20" fillId="0" borderId="0" xfId="0" applyFont="1"/>
    <xf numFmtId="0" fontId="16" fillId="0" borderId="0" xfId="0" applyFont="1" applyAlignment="1">
      <alignment horizontal="center" vertical="center" wrapText="1"/>
    </xf>
    <xf numFmtId="0" fontId="15" fillId="7" borderId="0" xfId="0" applyFont="1" applyFill="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vertical="top" wrapText="1"/>
    </xf>
    <xf numFmtId="0" fontId="21" fillId="0" borderId="0" xfId="0" applyFont="1"/>
    <xf numFmtId="0" fontId="27" fillId="14" borderId="6" xfId="0" applyFont="1" applyFill="1" applyBorder="1"/>
    <xf numFmtId="0" fontId="18" fillId="11" borderId="1" xfId="0" applyFont="1" applyFill="1" applyBorder="1"/>
    <xf numFmtId="0" fontId="0" fillId="0" borderId="3" xfId="0" applyBorder="1"/>
    <xf numFmtId="0" fontId="0" fillId="0" borderId="4" xfId="0" applyBorder="1"/>
    <xf numFmtId="0" fontId="30" fillId="0" borderId="6" xfId="0" applyFont="1" applyBorder="1"/>
    <xf numFmtId="0" fontId="27" fillId="0" borderId="6" xfId="0" applyFont="1" applyBorder="1"/>
    <xf numFmtId="0" fontId="23" fillId="0" borderId="0" xfId="0" applyFont="1"/>
    <xf numFmtId="0" fontId="18" fillId="4" borderId="1" xfId="0" applyFont="1" applyFill="1" applyBorder="1"/>
    <xf numFmtId="0" fontId="29" fillId="0" borderId="6" xfId="0" applyFont="1" applyBorder="1"/>
    <xf numFmtId="0" fontId="1" fillId="0" borderId="0" xfId="0" applyFont="1"/>
    <xf numFmtId="0" fontId="7" fillId="0" borderId="0" xfId="0" applyFont="1"/>
    <xf numFmtId="0" fontId="7" fillId="0" borderId="0" xfId="0" applyFont="1" applyAlignment="1">
      <alignment wrapText="1"/>
    </xf>
    <xf numFmtId="14" fontId="4"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B0B0B0"/>
      <rgbColor rgb="FF808080"/>
      <rgbColor rgb="FF9999FF"/>
      <rgbColor rgb="FF993366"/>
      <rgbColor rgb="FFFFF2CC"/>
      <rgbColor rgb="FFDDEBF7"/>
      <rgbColor rgb="FF660066"/>
      <rgbColor rgb="FFFF8080"/>
      <rgbColor rgb="FF2E75B6"/>
      <rgbColor rgb="FFD9E2F3"/>
      <rgbColor rgb="FF000080"/>
      <rgbColor rgb="FFFF00FF"/>
      <rgbColor rgb="FFFFFF00"/>
      <rgbColor rgb="FF00FFFF"/>
      <rgbColor rgb="FF800080"/>
      <rgbColor rgb="FF800000"/>
      <rgbColor rgb="FF008080"/>
      <rgbColor rgb="FF0000FF"/>
      <rgbColor rgb="FF00CCFF"/>
      <rgbColor rgb="FFE2EFDA"/>
      <rgbColor rgb="FFC6EFCE"/>
      <rgbColor rgb="FFFFFF99"/>
      <rgbColor rgb="FFF2F2F2"/>
      <rgbColor rgb="FFFF99CC"/>
      <rgbColor rgb="FFCC99FF"/>
      <rgbColor rgb="FFFCE4D6"/>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4"/>
  <sheetViews>
    <sheetView tabSelected="1" zoomScaleNormal="100" workbookViewId="0">
      <pane ySplit="6" topLeftCell="A58" activePane="bottomLeft" state="frozen"/>
      <selection pane="bottomLeft" activeCell="J67" sqref="J67"/>
    </sheetView>
  </sheetViews>
  <sheetFormatPr defaultColWidth="8.7109375" defaultRowHeight="15" x14ac:dyDescent="0.25"/>
  <cols>
    <col min="1" max="1" width="17.140625" customWidth="1"/>
    <col min="2" max="2" width="22" customWidth="1"/>
    <col min="3" max="3" width="38" customWidth="1"/>
    <col min="4" max="6" width="14" customWidth="1"/>
    <col min="7" max="7" width="25.7109375" customWidth="1"/>
    <col min="10" max="10" width="11.42578125" bestFit="1" customWidth="1"/>
    <col min="11" max="11" width="9" customWidth="1"/>
  </cols>
  <sheetData>
    <row r="1" spans="1:7" ht="24" customHeight="1" x14ac:dyDescent="0.25">
      <c r="A1" s="69" t="s">
        <v>0</v>
      </c>
      <c r="B1" s="70"/>
      <c r="C1" s="70"/>
      <c r="D1" s="70"/>
      <c r="E1" s="70"/>
      <c r="F1" s="70"/>
      <c r="G1" s="70"/>
    </row>
    <row r="2" spans="1:7" ht="15" customHeight="1" x14ac:dyDescent="0.25">
      <c r="A2" s="71" t="s">
        <v>1</v>
      </c>
      <c r="B2" s="70"/>
      <c r="C2" s="70"/>
      <c r="D2" s="70"/>
      <c r="E2" s="70"/>
      <c r="F2" s="70"/>
      <c r="G2" s="70"/>
    </row>
    <row r="4" spans="1:7" ht="15" customHeight="1" x14ac:dyDescent="0.25">
      <c r="A4" s="1" t="s">
        <v>2</v>
      </c>
      <c r="B4" s="2">
        <v>68112.25</v>
      </c>
      <c r="C4" s="55" t="s">
        <v>3</v>
      </c>
    </row>
    <row r="6" spans="1:7" ht="30" customHeight="1" x14ac:dyDescent="0.25">
      <c r="A6" s="3" t="s">
        <v>4</v>
      </c>
      <c r="B6" s="3" t="s">
        <v>5</v>
      </c>
      <c r="C6" s="3" t="s">
        <v>6</v>
      </c>
      <c r="D6" s="3" t="s">
        <v>7</v>
      </c>
      <c r="E6" s="3" t="s">
        <v>8</v>
      </c>
      <c r="F6" s="3" t="s">
        <v>9</v>
      </c>
      <c r="G6" s="3" t="s">
        <v>10</v>
      </c>
    </row>
    <row r="7" spans="1:7" ht="15" customHeight="1" x14ac:dyDescent="0.25">
      <c r="A7" s="4" t="s">
        <v>11</v>
      </c>
      <c r="B7" s="5" t="s">
        <v>12</v>
      </c>
      <c r="C7" s="6" t="s">
        <v>12</v>
      </c>
      <c r="D7" s="7"/>
      <c r="E7" s="8">
        <v>9.4499999999999993</v>
      </c>
      <c r="F7" s="9">
        <f>$B$4+IF(D7="",0,D7)-IF(E7="",0,E7)</f>
        <v>68102.8</v>
      </c>
      <c r="G7" s="5"/>
    </row>
    <row r="8" spans="1:7" ht="15" customHeight="1" x14ac:dyDescent="0.25">
      <c r="A8" s="4" t="s">
        <v>11</v>
      </c>
      <c r="B8" s="5" t="s">
        <v>13</v>
      </c>
      <c r="C8" s="6" t="s">
        <v>14</v>
      </c>
      <c r="D8" s="7"/>
      <c r="E8" s="8">
        <v>0.02</v>
      </c>
      <c r="F8" s="9">
        <f t="shared" ref="F8:F39" si="0">F7+IF(D8="",0,D8)-IF(E8="",0,E8)</f>
        <v>68102.78</v>
      </c>
      <c r="G8" s="5"/>
    </row>
    <row r="9" spans="1:7" ht="15" customHeight="1" x14ac:dyDescent="0.25">
      <c r="A9" s="4" t="s">
        <v>11</v>
      </c>
      <c r="B9" s="5" t="s">
        <v>15</v>
      </c>
      <c r="C9" s="6" t="s">
        <v>16</v>
      </c>
      <c r="D9" s="7"/>
      <c r="E9" s="8">
        <v>3200</v>
      </c>
      <c r="F9" s="9">
        <f t="shared" si="0"/>
        <v>64902.78</v>
      </c>
      <c r="G9" s="5"/>
    </row>
    <row r="10" spans="1:7" ht="15" customHeight="1" x14ac:dyDescent="0.25">
      <c r="A10" s="4" t="s">
        <v>11</v>
      </c>
      <c r="B10" s="5" t="s">
        <v>17</v>
      </c>
      <c r="C10" s="6" t="s">
        <v>18</v>
      </c>
      <c r="D10" s="7"/>
      <c r="E10" s="8">
        <v>448</v>
      </c>
      <c r="F10" s="9">
        <f t="shared" si="0"/>
        <v>64454.78</v>
      </c>
      <c r="G10" s="5"/>
    </row>
    <row r="11" spans="1:7" ht="15" customHeight="1" x14ac:dyDescent="0.25">
      <c r="A11" s="4" t="s">
        <v>19</v>
      </c>
      <c r="B11" s="5" t="s">
        <v>20</v>
      </c>
      <c r="C11" s="6" t="s">
        <v>21</v>
      </c>
      <c r="D11" s="10">
        <v>564000</v>
      </c>
      <c r="E11" s="7"/>
      <c r="F11" s="9">
        <f t="shared" si="0"/>
        <v>628454.78</v>
      </c>
      <c r="G11" s="5" t="s">
        <v>22</v>
      </c>
    </row>
    <row r="12" spans="1:7" ht="15" customHeight="1" x14ac:dyDescent="0.25">
      <c r="A12" s="4" t="s">
        <v>19</v>
      </c>
      <c r="B12" s="5" t="s">
        <v>23</v>
      </c>
      <c r="C12" s="6" t="s">
        <v>24</v>
      </c>
      <c r="D12" s="7"/>
      <c r="E12" s="8">
        <v>6429.6</v>
      </c>
      <c r="F12" s="9">
        <f t="shared" si="0"/>
        <v>622025.18000000005</v>
      </c>
      <c r="G12" s="5"/>
    </row>
    <row r="13" spans="1:7" ht="15" customHeight="1" x14ac:dyDescent="0.25">
      <c r="A13" s="4" t="s">
        <v>19</v>
      </c>
      <c r="B13" s="5" t="s">
        <v>20</v>
      </c>
      <c r="C13" s="6" t="s">
        <v>21</v>
      </c>
      <c r="D13" s="10">
        <v>220000</v>
      </c>
      <c r="E13" s="7"/>
      <c r="F13" s="9">
        <f t="shared" si="0"/>
        <v>842025.18</v>
      </c>
      <c r="G13" s="5" t="s">
        <v>22</v>
      </c>
    </row>
    <row r="14" spans="1:7" ht="15" customHeight="1" x14ac:dyDescent="0.25">
      <c r="A14" s="4" t="s">
        <v>19</v>
      </c>
      <c r="B14" s="5" t="s">
        <v>23</v>
      </c>
      <c r="C14" s="6" t="s">
        <v>24</v>
      </c>
      <c r="D14" s="7"/>
      <c r="E14" s="8">
        <v>2508</v>
      </c>
      <c r="F14" s="9">
        <f t="shared" si="0"/>
        <v>839517.18</v>
      </c>
      <c r="G14" s="5"/>
    </row>
    <row r="15" spans="1:7" ht="15" customHeight="1" x14ac:dyDescent="0.25">
      <c r="A15" s="4" t="s">
        <v>25</v>
      </c>
      <c r="B15" s="5" t="s">
        <v>26</v>
      </c>
      <c r="C15" s="6" t="s">
        <v>27</v>
      </c>
      <c r="D15" s="10">
        <v>350000</v>
      </c>
      <c r="E15" s="7"/>
      <c r="F15" s="9">
        <f t="shared" si="0"/>
        <v>1189517.1800000002</v>
      </c>
      <c r="G15" s="5" t="s">
        <v>22</v>
      </c>
    </row>
    <row r="16" spans="1:7" ht="15" customHeight="1" x14ac:dyDescent="0.25">
      <c r="A16" s="4" t="s">
        <v>28</v>
      </c>
      <c r="B16" s="5" t="s">
        <v>15</v>
      </c>
      <c r="C16" s="6" t="s">
        <v>16</v>
      </c>
      <c r="D16" s="7"/>
      <c r="E16" s="8">
        <v>4500</v>
      </c>
      <c r="F16" s="9">
        <f t="shared" si="0"/>
        <v>1185017.1800000002</v>
      </c>
      <c r="G16" s="5"/>
    </row>
    <row r="17" spans="1:11" ht="15" customHeight="1" x14ac:dyDescent="0.25">
      <c r="A17" s="4" t="s">
        <v>28</v>
      </c>
      <c r="B17" s="5" t="s">
        <v>17</v>
      </c>
      <c r="C17" s="6" t="s">
        <v>18</v>
      </c>
      <c r="D17" s="7"/>
      <c r="E17" s="8">
        <v>630</v>
      </c>
      <c r="F17" s="9">
        <f t="shared" si="0"/>
        <v>1184387.1800000002</v>
      </c>
      <c r="G17" s="5"/>
    </row>
    <row r="18" spans="1:11" ht="15" customHeight="1" x14ac:dyDescent="0.25">
      <c r="A18" s="4" t="s">
        <v>28</v>
      </c>
      <c r="B18" s="5" t="s">
        <v>29</v>
      </c>
      <c r="C18" s="6" t="s">
        <v>30</v>
      </c>
      <c r="D18" s="7"/>
      <c r="E18" s="8">
        <v>10000</v>
      </c>
      <c r="F18" s="9">
        <f t="shared" si="0"/>
        <v>1174387.1800000002</v>
      </c>
      <c r="G18" s="5"/>
    </row>
    <row r="19" spans="1:11" ht="15" customHeight="1" x14ac:dyDescent="0.25">
      <c r="A19" s="4" t="s">
        <v>28</v>
      </c>
      <c r="B19" s="5" t="s">
        <v>31</v>
      </c>
      <c r="C19" s="6" t="s">
        <v>32</v>
      </c>
      <c r="D19" s="7"/>
      <c r="E19" s="8">
        <v>1400</v>
      </c>
      <c r="F19" s="9">
        <f t="shared" si="0"/>
        <v>1172987.1800000002</v>
      </c>
      <c r="G19" s="5"/>
    </row>
    <row r="20" spans="1:11" ht="15" customHeight="1" x14ac:dyDescent="0.25">
      <c r="A20" s="4" t="s">
        <v>28</v>
      </c>
      <c r="B20" s="5" t="s">
        <v>33</v>
      </c>
      <c r="C20" s="6" t="s">
        <v>34</v>
      </c>
      <c r="D20" s="7"/>
      <c r="E20" s="8">
        <v>8.0500000000000007</v>
      </c>
      <c r="F20" s="9">
        <f t="shared" si="0"/>
        <v>1172979.1300000001</v>
      </c>
      <c r="G20" s="5"/>
    </row>
    <row r="21" spans="1:11" ht="15" customHeight="1" x14ac:dyDescent="0.25">
      <c r="A21" s="4" t="s">
        <v>28</v>
      </c>
      <c r="B21" s="5" t="s">
        <v>35</v>
      </c>
      <c r="C21" s="6" t="s">
        <v>35</v>
      </c>
      <c r="D21" s="7"/>
      <c r="E21" s="8">
        <v>207.93</v>
      </c>
      <c r="F21" s="9">
        <f t="shared" si="0"/>
        <v>1172771.2000000002</v>
      </c>
      <c r="G21" s="5"/>
    </row>
    <row r="22" spans="1:11" ht="15" customHeight="1" x14ac:dyDescent="0.25">
      <c r="A22" s="4" t="s">
        <v>28</v>
      </c>
      <c r="B22" s="5" t="s">
        <v>33</v>
      </c>
      <c r="C22" s="6" t="s">
        <v>34</v>
      </c>
      <c r="D22" s="7"/>
      <c r="E22" s="8">
        <v>0.21</v>
      </c>
      <c r="F22" s="9">
        <f t="shared" si="0"/>
        <v>1172770.9900000002</v>
      </c>
      <c r="G22" s="5"/>
    </row>
    <row r="23" spans="1:11" ht="15" customHeight="1" x14ac:dyDescent="0.25">
      <c r="A23" s="4" t="s">
        <v>36</v>
      </c>
      <c r="B23" s="5" t="s">
        <v>26</v>
      </c>
      <c r="C23" s="6" t="s">
        <v>27</v>
      </c>
      <c r="D23" s="10">
        <v>360000</v>
      </c>
      <c r="E23" s="7"/>
      <c r="F23" s="9">
        <f t="shared" si="0"/>
        <v>1532770.9900000002</v>
      </c>
      <c r="G23" s="5" t="s">
        <v>22</v>
      </c>
      <c r="K23" s="11"/>
    </row>
    <row r="24" spans="1:11" ht="15" customHeight="1" x14ac:dyDescent="0.25">
      <c r="A24" s="4" t="s">
        <v>37</v>
      </c>
      <c r="B24" s="5" t="s">
        <v>38</v>
      </c>
      <c r="C24" s="6" t="s">
        <v>39</v>
      </c>
      <c r="D24" s="10">
        <v>180000</v>
      </c>
      <c r="E24" s="7"/>
      <c r="F24" s="9">
        <f t="shared" si="0"/>
        <v>1712770.9900000002</v>
      </c>
      <c r="G24" s="5" t="s">
        <v>22</v>
      </c>
    </row>
    <row r="25" spans="1:11" ht="15" customHeight="1" x14ac:dyDescent="0.25">
      <c r="A25" s="4" t="s">
        <v>40</v>
      </c>
      <c r="B25" s="5" t="s">
        <v>20</v>
      </c>
      <c r="C25" s="6" t="s">
        <v>21</v>
      </c>
      <c r="D25" s="10">
        <v>150000</v>
      </c>
      <c r="E25" s="7"/>
      <c r="F25" s="9">
        <f t="shared" si="0"/>
        <v>1862770.9900000002</v>
      </c>
      <c r="G25" s="5" t="s">
        <v>22</v>
      </c>
    </row>
    <row r="26" spans="1:11" ht="15" customHeight="1" x14ac:dyDescent="0.25">
      <c r="A26" s="4" t="s">
        <v>40</v>
      </c>
      <c r="B26" s="5" t="s">
        <v>23</v>
      </c>
      <c r="C26" s="6" t="s">
        <v>24</v>
      </c>
      <c r="D26" s="10"/>
      <c r="E26" s="8">
        <v>1710</v>
      </c>
      <c r="F26" s="12">
        <f t="shared" si="0"/>
        <v>1861060.9900000002</v>
      </c>
      <c r="G26" s="5"/>
    </row>
    <row r="27" spans="1:11" ht="15" customHeight="1" x14ac:dyDescent="0.25">
      <c r="A27" s="4" t="s">
        <v>40</v>
      </c>
      <c r="B27" s="5" t="s">
        <v>41</v>
      </c>
      <c r="C27" s="6" t="s">
        <v>42</v>
      </c>
      <c r="D27" s="10"/>
      <c r="E27" s="8">
        <v>46000</v>
      </c>
      <c r="F27" s="9">
        <f t="shared" si="0"/>
        <v>1815060.9900000002</v>
      </c>
      <c r="G27" s="5"/>
    </row>
    <row r="28" spans="1:11" ht="15" customHeight="1" x14ac:dyDescent="0.25">
      <c r="A28" s="4" t="s">
        <v>40</v>
      </c>
      <c r="B28" s="5" t="s">
        <v>43</v>
      </c>
      <c r="C28" s="6" t="s">
        <v>44</v>
      </c>
      <c r="D28" s="10"/>
      <c r="E28" s="8">
        <v>100000</v>
      </c>
      <c r="F28" s="9">
        <f t="shared" si="0"/>
        <v>1715060.9900000002</v>
      </c>
      <c r="G28" s="13" t="s">
        <v>45</v>
      </c>
    </row>
    <row r="29" spans="1:11" ht="15" customHeight="1" x14ac:dyDescent="0.25">
      <c r="A29" s="4" t="s">
        <v>46</v>
      </c>
      <c r="B29" s="5" t="s">
        <v>41</v>
      </c>
      <c r="C29" s="6" t="s">
        <v>42</v>
      </c>
      <c r="D29" s="10"/>
      <c r="E29" s="8">
        <v>10000</v>
      </c>
      <c r="F29" s="9">
        <f t="shared" si="0"/>
        <v>1705060.9900000002</v>
      </c>
      <c r="G29" s="5"/>
    </row>
    <row r="30" spans="1:11" ht="15" customHeight="1" x14ac:dyDescent="0.25">
      <c r="A30" s="4" t="s">
        <v>47</v>
      </c>
      <c r="B30" s="5" t="s">
        <v>48</v>
      </c>
      <c r="C30" s="14" t="s">
        <v>49</v>
      </c>
      <c r="D30" s="10"/>
      <c r="E30" s="8">
        <v>20000</v>
      </c>
      <c r="F30" s="9">
        <f t="shared" si="0"/>
        <v>1685060.9900000002</v>
      </c>
      <c r="G30" s="13"/>
    </row>
    <row r="31" spans="1:11" ht="15" customHeight="1" x14ac:dyDescent="0.25">
      <c r="A31" s="4" t="s">
        <v>50</v>
      </c>
      <c r="B31" s="5" t="s">
        <v>43</v>
      </c>
      <c r="C31" s="5" t="s">
        <v>44</v>
      </c>
      <c r="D31" s="10"/>
      <c r="E31" s="8">
        <v>12251</v>
      </c>
      <c r="F31" s="9">
        <f t="shared" si="0"/>
        <v>1672809.9900000002</v>
      </c>
      <c r="G31" s="5" t="s">
        <v>51</v>
      </c>
    </row>
    <row r="32" spans="1:11" ht="15" customHeight="1" x14ac:dyDescent="0.25">
      <c r="A32" s="4" t="s">
        <v>50</v>
      </c>
      <c r="B32" s="5" t="s">
        <v>43</v>
      </c>
      <c r="C32" s="5" t="s">
        <v>44</v>
      </c>
      <c r="D32" s="10"/>
      <c r="E32" s="8">
        <v>162493.43</v>
      </c>
      <c r="F32" s="9">
        <f t="shared" si="0"/>
        <v>1510316.5600000003</v>
      </c>
      <c r="G32" s="5" t="s">
        <v>52</v>
      </c>
    </row>
    <row r="33" spans="1:7" ht="15" customHeight="1" x14ac:dyDescent="0.25">
      <c r="A33" s="4" t="s">
        <v>50</v>
      </c>
      <c r="B33" s="5" t="s">
        <v>43</v>
      </c>
      <c r="C33" s="5" t="s">
        <v>44</v>
      </c>
      <c r="D33" s="10"/>
      <c r="E33" s="8">
        <v>18000</v>
      </c>
      <c r="F33" s="9">
        <f t="shared" si="0"/>
        <v>1492316.5600000003</v>
      </c>
      <c r="G33" s="5" t="s">
        <v>53</v>
      </c>
    </row>
    <row r="34" spans="1:7" ht="15" customHeight="1" x14ac:dyDescent="0.25">
      <c r="A34" s="4" t="s">
        <v>50</v>
      </c>
      <c r="B34" s="5" t="s">
        <v>41</v>
      </c>
      <c r="C34" s="5" t="s">
        <v>42</v>
      </c>
      <c r="D34" s="10"/>
      <c r="E34" s="8">
        <v>20000</v>
      </c>
      <c r="F34" s="9">
        <f t="shared" si="0"/>
        <v>1472316.5600000003</v>
      </c>
      <c r="G34" s="5"/>
    </row>
    <row r="35" spans="1:7" ht="15" customHeight="1" x14ac:dyDescent="0.25">
      <c r="A35" s="15" t="s">
        <v>54</v>
      </c>
      <c r="B35" s="5" t="s">
        <v>48</v>
      </c>
      <c r="C35" s="5" t="s">
        <v>42</v>
      </c>
      <c r="D35" s="10"/>
      <c r="E35" s="8">
        <v>50000</v>
      </c>
      <c r="F35" s="9">
        <f t="shared" si="0"/>
        <v>1422316.5600000003</v>
      </c>
      <c r="G35" s="5"/>
    </row>
    <row r="36" spans="1:7" ht="15" customHeight="1" x14ac:dyDescent="0.25">
      <c r="A36" s="15" t="s">
        <v>54</v>
      </c>
      <c r="B36" s="13" t="s">
        <v>43</v>
      </c>
      <c r="C36" s="13" t="s">
        <v>44</v>
      </c>
      <c r="D36" s="10"/>
      <c r="E36" s="8">
        <v>2250</v>
      </c>
      <c r="F36" s="9">
        <f t="shared" si="0"/>
        <v>1420066.5600000003</v>
      </c>
      <c r="G36" s="5" t="s">
        <v>55</v>
      </c>
    </row>
    <row r="37" spans="1:7" ht="15" customHeight="1" x14ac:dyDescent="0.25">
      <c r="A37" s="15" t="s">
        <v>56</v>
      </c>
      <c r="B37" s="5" t="s">
        <v>26</v>
      </c>
      <c r="C37" s="5" t="s">
        <v>27</v>
      </c>
      <c r="D37" s="10">
        <v>150000</v>
      </c>
      <c r="E37" s="8"/>
      <c r="F37" s="9">
        <f t="shared" si="0"/>
        <v>1570066.5600000003</v>
      </c>
      <c r="G37" s="5" t="s">
        <v>22</v>
      </c>
    </row>
    <row r="38" spans="1:7" ht="15" customHeight="1" x14ac:dyDescent="0.25">
      <c r="A38" s="15" t="s">
        <v>57</v>
      </c>
      <c r="B38" s="5" t="s">
        <v>26</v>
      </c>
      <c r="C38" s="5" t="s">
        <v>27</v>
      </c>
      <c r="D38" s="10">
        <v>2000</v>
      </c>
      <c r="E38" s="8"/>
      <c r="F38" s="9">
        <f t="shared" si="0"/>
        <v>1572066.5600000003</v>
      </c>
      <c r="G38" s="5" t="s">
        <v>58</v>
      </c>
    </row>
    <row r="39" spans="1:7" ht="15" customHeight="1" x14ac:dyDescent="0.25">
      <c r="A39" s="15" t="s">
        <v>57</v>
      </c>
      <c r="B39" s="5" t="s">
        <v>20</v>
      </c>
      <c r="C39" s="6" t="s">
        <v>21</v>
      </c>
      <c r="D39" s="10">
        <v>610000</v>
      </c>
      <c r="E39" s="8"/>
      <c r="F39" s="9">
        <f t="shared" si="0"/>
        <v>2182066.5600000005</v>
      </c>
      <c r="G39" s="5" t="s">
        <v>59</v>
      </c>
    </row>
    <row r="40" spans="1:7" ht="15" customHeight="1" x14ac:dyDescent="0.25">
      <c r="A40" s="15" t="s">
        <v>57</v>
      </c>
      <c r="B40" s="5" t="s">
        <v>23</v>
      </c>
      <c r="C40" s="6" t="s">
        <v>24</v>
      </c>
      <c r="D40" s="10"/>
      <c r="E40" s="8">
        <v>6954</v>
      </c>
      <c r="F40" s="9">
        <f t="shared" ref="F40:F70" si="1">F39+IF(D40="",0,D40)-IF(E40="",0,E40)</f>
        <v>2175112.5600000005</v>
      </c>
      <c r="G40" s="5"/>
    </row>
    <row r="41" spans="1:7" ht="15" customHeight="1" x14ac:dyDescent="0.25">
      <c r="A41" s="15" t="s">
        <v>57</v>
      </c>
      <c r="B41" s="5" t="s">
        <v>43</v>
      </c>
      <c r="C41" s="5" t="s">
        <v>44</v>
      </c>
      <c r="D41" s="10"/>
      <c r="E41" s="8">
        <v>21198</v>
      </c>
      <c r="F41" s="9">
        <f t="shared" si="1"/>
        <v>2153914.5600000005</v>
      </c>
      <c r="G41" s="5" t="s">
        <v>60</v>
      </c>
    </row>
    <row r="42" spans="1:7" ht="15" customHeight="1" x14ac:dyDescent="0.25">
      <c r="A42" s="15" t="s">
        <v>61</v>
      </c>
      <c r="B42" s="5" t="s">
        <v>43</v>
      </c>
      <c r="C42" s="5" t="s">
        <v>44</v>
      </c>
      <c r="D42" s="10"/>
      <c r="E42" s="8">
        <v>28750</v>
      </c>
      <c r="F42" s="9">
        <f t="shared" si="1"/>
        <v>2125164.5600000005</v>
      </c>
      <c r="G42" s="5" t="s">
        <v>62</v>
      </c>
    </row>
    <row r="43" spans="1:7" ht="15" customHeight="1" x14ac:dyDescent="0.25">
      <c r="A43" s="15" t="s">
        <v>61</v>
      </c>
      <c r="B43" s="5" t="s">
        <v>43</v>
      </c>
      <c r="C43" s="5" t="s">
        <v>44</v>
      </c>
      <c r="D43" s="10"/>
      <c r="E43" s="8">
        <v>2000</v>
      </c>
      <c r="F43" s="9">
        <f t="shared" si="1"/>
        <v>2123164.5600000005</v>
      </c>
      <c r="G43" s="5" t="s">
        <v>62</v>
      </c>
    </row>
    <row r="44" spans="1:7" ht="15" customHeight="1" x14ac:dyDescent="0.25">
      <c r="A44" s="16" t="s">
        <v>63</v>
      </c>
      <c r="B44" s="13" t="s">
        <v>64</v>
      </c>
      <c r="C44" s="13" t="s">
        <v>44</v>
      </c>
      <c r="D44" s="10"/>
      <c r="E44" s="8">
        <v>34590</v>
      </c>
      <c r="F44" s="9">
        <f t="shared" si="1"/>
        <v>2088574.5600000005</v>
      </c>
      <c r="G44" s="13" t="s">
        <v>65</v>
      </c>
    </row>
    <row r="45" spans="1:7" ht="15" customHeight="1" x14ac:dyDescent="0.25">
      <c r="A45" s="15">
        <v>46251</v>
      </c>
      <c r="B45" s="5" t="s">
        <v>66</v>
      </c>
      <c r="C45" s="5" t="s">
        <v>42</v>
      </c>
      <c r="D45" s="10"/>
      <c r="E45" s="8">
        <v>20000</v>
      </c>
      <c r="F45" s="9">
        <f t="shared" si="1"/>
        <v>2068574.5600000005</v>
      </c>
      <c r="G45" s="5"/>
    </row>
    <row r="46" spans="1:7" ht="15" customHeight="1" x14ac:dyDescent="0.25">
      <c r="A46" s="15">
        <v>46251</v>
      </c>
      <c r="B46" s="5" t="s">
        <v>43</v>
      </c>
      <c r="C46" s="5" t="s">
        <v>44</v>
      </c>
      <c r="D46" s="10"/>
      <c r="E46" s="8">
        <v>17500</v>
      </c>
      <c r="F46" s="9">
        <f t="shared" si="1"/>
        <v>2051074.5600000005</v>
      </c>
      <c r="G46" s="5" t="s">
        <v>187</v>
      </c>
    </row>
    <row r="47" spans="1:7" ht="15" customHeight="1" x14ac:dyDescent="0.25">
      <c r="A47" s="15">
        <v>46251</v>
      </c>
      <c r="B47" s="5" t="s">
        <v>48</v>
      </c>
      <c r="C47" s="5" t="s">
        <v>42</v>
      </c>
      <c r="D47" s="10"/>
      <c r="E47" s="8">
        <v>10000</v>
      </c>
      <c r="F47" s="9">
        <f t="shared" si="1"/>
        <v>2041074.5600000005</v>
      </c>
      <c r="G47" s="5"/>
    </row>
    <row r="48" spans="1:7" ht="15" customHeight="1" x14ac:dyDescent="0.25">
      <c r="A48" s="15">
        <v>46251</v>
      </c>
      <c r="B48" s="5" t="s">
        <v>43</v>
      </c>
      <c r="C48" s="5" t="s">
        <v>44</v>
      </c>
      <c r="D48" s="10"/>
      <c r="E48" s="8">
        <v>19040</v>
      </c>
      <c r="F48" s="9">
        <f t="shared" si="1"/>
        <v>2022034.5600000005</v>
      </c>
      <c r="G48" s="5" t="s">
        <v>188</v>
      </c>
    </row>
    <row r="49" spans="1:10" ht="15" customHeight="1" x14ac:dyDescent="0.25">
      <c r="A49" s="15">
        <v>46255</v>
      </c>
      <c r="B49" s="5" t="s">
        <v>182</v>
      </c>
      <c r="C49" s="5" t="s">
        <v>183</v>
      </c>
      <c r="D49" s="10"/>
      <c r="E49" s="8">
        <v>80000</v>
      </c>
      <c r="F49" s="9">
        <f t="shared" si="1"/>
        <v>1942034.5600000005</v>
      </c>
      <c r="G49" s="5" t="s">
        <v>184</v>
      </c>
    </row>
    <row r="50" spans="1:10" ht="15" customHeight="1" x14ac:dyDescent="0.25">
      <c r="A50" s="15">
        <v>46255</v>
      </c>
      <c r="B50" s="5" t="s">
        <v>48</v>
      </c>
      <c r="C50" s="5" t="s">
        <v>42</v>
      </c>
      <c r="D50" s="10"/>
      <c r="E50" s="8">
        <v>60000</v>
      </c>
      <c r="F50" s="9">
        <f t="shared" si="1"/>
        <v>1882034.5600000005</v>
      </c>
      <c r="G50" s="5" t="s">
        <v>186</v>
      </c>
    </row>
    <row r="51" spans="1:10" ht="15" customHeight="1" x14ac:dyDescent="0.25">
      <c r="A51" s="15">
        <v>46255</v>
      </c>
      <c r="B51" s="5" t="s">
        <v>185</v>
      </c>
      <c r="C51" s="5" t="s">
        <v>42</v>
      </c>
      <c r="D51" s="10"/>
      <c r="E51" s="8">
        <v>60000</v>
      </c>
      <c r="F51" s="9">
        <f t="shared" si="1"/>
        <v>1822034.5600000005</v>
      </c>
      <c r="G51" s="5" t="s">
        <v>186</v>
      </c>
    </row>
    <row r="52" spans="1:10" ht="15" customHeight="1" x14ac:dyDescent="0.25">
      <c r="A52" s="91">
        <v>46255</v>
      </c>
      <c r="B52" s="5" t="s">
        <v>43</v>
      </c>
      <c r="C52" s="5" t="s">
        <v>44</v>
      </c>
      <c r="D52" s="10"/>
      <c r="E52" s="8">
        <v>52500</v>
      </c>
      <c r="F52" s="9">
        <f t="shared" si="1"/>
        <v>1769534.5600000005</v>
      </c>
      <c r="G52" s="5" t="s">
        <v>189</v>
      </c>
    </row>
    <row r="53" spans="1:10" ht="15" customHeight="1" x14ac:dyDescent="0.25">
      <c r="A53" s="91">
        <v>46255</v>
      </c>
      <c r="B53" s="5" t="s">
        <v>43</v>
      </c>
      <c r="C53" s="5" t="s">
        <v>44</v>
      </c>
      <c r="D53" s="10"/>
      <c r="E53" s="8">
        <v>31100</v>
      </c>
      <c r="F53" s="9">
        <f t="shared" si="1"/>
        <v>1738434.5600000005</v>
      </c>
      <c r="G53" s="5" t="s">
        <v>190</v>
      </c>
    </row>
    <row r="54" spans="1:10" ht="15" customHeight="1" x14ac:dyDescent="0.25">
      <c r="A54" s="91">
        <v>46255</v>
      </c>
      <c r="B54" s="5" t="s">
        <v>182</v>
      </c>
      <c r="C54" s="5" t="s">
        <v>183</v>
      </c>
      <c r="D54" s="10"/>
      <c r="E54" s="8">
        <v>100000</v>
      </c>
      <c r="F54" s="9">
        <f t="shared" si="1"/>
        <v>1638434.5600000005</v>
      </c>
      <c r="G54" s="5" t="s">
        <v>191</v>
      </c>
    </row>
    <row r="55" spans="1:10" ht="15" customHeight="1" x14ac:dyDescent="0.25">
      <c r="A55" s="91">
        <v>46255</v>
      </c>
      <c r="B55" s="5" t="s">
        <v>182</v>
      </c>
      <c r="C55" s="5" t="s">
        <v>183</v>
      </c>
      <c r="D55" s="10"/>
      <c r="E55" s="8">
        <v>20000</v>
      </c>
      <c r="F55" s="9">
        <f t="shared" si="1"/>
        <v>1618434.5600000005</v>
      </c>
      <c r="G55" s="5" t="s">
        <v>191</v>
      </c>
    </row>
    <row r="56" spans="1:10" ht="15" customHeight="1" x14ac:dyDescent="0.25">
      <c r="A56" s="91">
        <v>46255</v>
      </c>
      <c r="B56" s="5" t="s">
        <v>182</v>
      </c>
      <c r="C56" s="5" t="s">
        <v>183</v>
      </c>
      <c r="D56" s="10"/>
      <c r="E56" s="8">
        <v>200000</v>
      </c>
      <c r="F56" s="9">
        <f t="shared" si="1"/>
        <v>1418434.5600000005</v>
      </c>
      <c r="G56" s="5" t="s">
        <v>191</v>
      </c>
    </row>
    <row r="57" spans="1:10" ht="15" customHeight="1" x14ac:dyDescent="0.25">
      <c r="A57" s="91">
        <v>46255</v>
      </c>
      <c r="B57" s="5" t="s">
        <v>182</v>
      </c>
      <c r="C57" s="5" t="s">
        <v>183</v>
      </c>
      <c r="D57" s="10"/>
      <c r="E57" s="8">
        <v>135000</v>
      </c>
      <c r="F57" s="9">
        <f t="shared" si="1"/>
        <v>1283434.5600000005</v>
      </c>
      <c r="G57" s="5" t="s">
        <v>191</v>
      </c>
    </row>
    <row r="58" spans="1:10" ht="15" customHeight="1" x14ac:dyDescent="0.25">
      <c r="A58" s="91">
        <v>46255</v>
      </c>
      <c r="B58" s="5" t="s">
        <v>182</v>
      </c>
      <c r="C58" s="5" t="s">
        <v>183</v>
      </c>
      <c r="D58" s="10"/>
      <c r="E58" s="8">
        <v>59400</v>
      </c>
      <c r="F58" s="9">
        <f t="shared" si="1"/>
        <v>1224034.5600000005</v>
      </c>
      <c r="G58" s="5" t="s">
        <v>191</v>
      </c>
    </row>
    <row r="59" spans="1:10" ht="15" customHeight="1" x14ac:dyDescent="0.25">
      <c r="A59" s="4"/>
      <c r="B59" s="5"/>
      <c r="C59" s="5"/>
      <c r="D59" s="10"/>
      <c r="E59" s="8"/>
      <c r="F59" s="9">
        <f t="shared" si="1"/>
        <v>1224034.5600000005</v>
      </c>
      <c r="G59" s="5"/>
    </row>
    <row r="60" spans="1:10" ht="15" customHeight="1" x14ac:dyDescent="0.25">
      <c r="A60" s="4"/>
      <c r="B60" s="5"/>
      <c r="C60" s="5"/>
      <c r="D60" s="10"/>
      <c r="E60" s="8"/>
      <c r="F60" s="9">
        <f t="shared" si="1"/>
        <v>1224034.5600000005</v>
      </c>
      <c r="G60" s="5"/>
    </row>
    <row r="61" spans="1:10" ht="15" customHeight="1" x14ac:dyDescent="0.25">
      <c r="A61" s="4"/>
      <c r="B61" s="5"/>
      <c r="C61" s="5"/>
      <c r="D61" s="10"/>
      <c r="E61" s="8"/>
      <c r="F61" s="9">
        <f t="shared" si="1"/>
        <v>1224034.5600000005</v>
      </c>
      <c r="G61" s="5"/>
    </row>
    <row r="62" spans="1:10" ht="15" customHeight="1" x14ac:dyDescent="0.25">
      <c r="A62" s="4"/>
      <c r="B62" s="5"/>
      <c r="C62" s="5"/>
      <c r="D62" s="10"/>
      <c r="E62" s="8"/>
      <c r="F62" s="9">
        <f t="shared" si="1"/>
        <v>1224034.5600000005</v>
      </c>
      <c r="G62" s="5"/>
    </row>
    <row r="63" spans="1:10" ht="15" customHeight="1" x14ac:dyDescent="0.25">
      <c r="A63" s="4"/>
      <c r="B63" s="5"/>
      <c r="C63" s="5"/>
      <c r="D63" s="10"/>
      <c r="E63" s="8"/>
      <c r="F63" s="9">
        <f t="shared" si="1"/>
        <v>1224034.5600000005</v>
      </c>
      <c r="G63" s="5"/>
      <c r="J63" s="11"/>
    </row>
    <row r="64" spans="1:10" ht="15" customHeight="1" x14ac:dyDescent="0.25">
      <c r="A64" s="4"/>
      <c r="B64" s="5"/>
      <c r="C64" s="5"/>
      <c r="D64" s="10"/>
      <c r="E64" s="8"/>
      <c r="F64" s="9">
        <f t="shared" si="1"/>
        <v>1224034.5600000005</v>
      </c>
      <c r="G64" s="5"/>
    </row>
    <row r="65" spans="1:7" ht="15" customHeight="1" x14ac:dyDescent="0.25">
      <c r="A65" s="4"/>
      <c r="B65" s="5"/>
      <c r="C65" s="5"/>
      <c r="D65" s="10"/>
      <c r="E65" s="8"/>
      <c r="F65" s="9">
        <f t="shared" si="1"/>
        <v>1224034.5600000005</v>
      </c>
      <c r="G65" s="5"/>
    </row>
    <row r="66" spans="1:7" ht="15" customHeight="1" x14ac:dyDescent="0.25">
      <c r="A66" s="4"/>
      <c r="B66" s="5"/>
      <c r="C66" s="5"/>
      <c r="D66" s="10"/>
      <c r="E66" s="8"/>
      <c r="F66" s="9">
        <f t="shared" si="1"/>
        <v>1224034.5600000005</v>
      </c>
      <c r="G66" s="5"/>
    </row>
    <row r="67" spans="1:7" ht="15" customHeight="1" x14ac:dyDescent="0.25">
      <c r="A67" s="4"/>
      <c r="B67" s="5"/>
      <c r="C67" s="5"/>
      <c r="D67" s="10"/>
      <c r="E67" s="8"/>
      <c r="F67" s="9">
        <f t="shared" si="1"/>
        <v>1224034.5600000005</v>
      </c>
      <c r="G67" s="5"/>
    </row>
    <row r="68" spans="1:7" ht="15" customHeight="1" x14ac:dyDescent="0.25">
      <c r="A68" s="4"/>
      <c r="B68" s="5"/>
      <c r="C68" s="5"/>
      <c r="D68" s="10"/>
      <c r="E68" s="8"/>
      <c r="F68" s="9">
        <f t="shared" si="1"/>
        <v>1224034.5600000005</v>
      </c>
      <c r="G68" s="5"/>
    </row>
    <row r="69" spans="1:7" ht="15" customHeight="1" x14ac:dyDescent="0.25">
      <c r="A69" s="4"/>
      <c r="B69" s="5"/>
      <c r="C69" s="5"/>
      <c r="D69" s="10"/>
      <c r="E69" s="8"/>
      <c r="F69" s="9">
        <f t="shared" si="1"/>
        <v>1224034.5600000005</v>
      </c>
      <c r="G69" s="5"/>
    </row>
    <row r="70" spans="1:7" ht="15" customHeight="1" x14ac:dyDescent="0.25">
      <c r="A70" s="4"/>
      <c r="B70" s="5"/>
      <c r="C70" s="5"/>
      <c r="D70" s="10"/>
      <c r="E70" s="8"/>
      <c r="F70" s="9">
        <f t="shared" si="1"/>
        <v>1224034.5600000005</v>
      </c>
      <c r="G70" s="5"/>
    </row>
    <row r="72" spans="1:7" ht="15" customHeight="1" x14ac:dyDescent="0.25">
      <c r="A72" s="17" t="s">
        <v>67</v>
      </c>
      <c r="B72" s="18"/>
      <c r="C72" s="18"/>
      <c r="D72" s="19">
        <f>SUM(D7:D70)</f>
        <v>2586000</v>
      </c>
      <c r="E72" s="20">
        <f>SUM(E7:E70)</f>
        <v>1430077.69</v>
      </c>
      <c r="F72" s="21">
        <f>F70</f>
        <v>1224034.5600000005</v>
      </c>
      <c r="G72" s="18"/>
    </row>
    <row r="74" spans="1:7" ht="15" customHeight="1" x14ac:dyDescent="0.25">
      <c r="A74" s="72" t="s">
        <v>68</v>
      </c>
      <c r="B74" s="70"/>
      <c r="C74" s="70"/>
      <c r="D74" s="70"/>
      <c r="E74" s="70"/>
      <c r="F74" s="70"/>
      <c r="G74" s="70"/>
    </row>
  </sheetData>
  <mergeCells count="3">
    <mergeCell ref="A1:G1"/>
    <mergeCell ref="A2:G2"/>
    <mergeCell ref="A74:G74"/>
  </mergeCells>
  <printOptions horizontalCentered="1"/>
  <pageMargins left="0.5" right="0.5" top="0.7" bottom="0.7" header="0.3" footer="0.3"/>
  <pageSetup paperSize="9" fitToHeight="0" orientation="landscape" horizontalDpi="300" verticalDpi="300"/>
  <headerFooter>
    <oddHeader>&amp;C&amp;"Arial,Bold"&amp;10 Movimentos</oddHeader>
    <oddFooter>&amp;LÉcole Consulaire du Congo – Luanda&amp;CPágina &amp;P de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1"/>
  <sheetViews>
    <sheetView topLeftCell="A7" zoomScaleNormal="100" workbookViewId="0">
      <selection activeCell="A28" sqref="A28"/>
    </sheetView>
  </sheetViews>
  <sheetFormatPr defaultColWidth="8.7109375" defaultRowHeight="15" x14ac:dyDescent="0.25"/>
  <cols>
    <col min="1" max="1" width="15.7109375" customWidth="1"/>
    <col min="2" max="2" width="11" customWidth="1"/>
    <col min="3" max="3" width="13.28515625" customWidth="1"/>
    <col min="4" max="4" width="18" customWidth="1"/>
    <col min="5" max="5" width="34" customWidth="1"/>
    <col min="6" max="6" width="18" customWidth="1"/>
    <col min="7" max="7" width="14" customWidth="1"/>
    <col min="8" max="8" width="20" customWidth="1"/>
    <col min="9" max="9" width="28" customWidth="1"/>
  </cols>
  <sheetData>
    <row r="1" spans="1:9" ht="21.75" customHeight="1" x14ac:dyDescent="0.25">
      <c r="A1" s="75" t="s">
        <v>69</v>
      </c>
      <c r="B1" s="70"/>
      <c r="C1" s="70"/>
      <c r="D1" s="70"/>
      <c r="E1" s="70"/>
      <c r="F1" s="70"/>
      <c r="G1" s="70"/>
      <c r="H1" s="70"/>
      <c r="I1" s="70"/>
    </row>
    <row r="2" spans="1:9" ht="15" customHeight="1" x14ac:dyDescent="0.25">
      <c r="A2" s="74" t="s">
        <v>70</v>
      </c>
      <c r="B2" s="70"/>
      <c r="C2" s="70"/>
      <c r="D2" s="70"/>
      <c r="E2" s="70"/>
      <c r="F2" s="70"/>
      <c r="G2" s="70"/>
      <c r="H2" s="70"/>
      <c r="I2" s="70"/>
    </row>
    <row r="3" spans="1:9" ht="15" customHeight="1" x14ac:dyDescent="0.25">
      <c r="A3" s="76"/>
      <c r="B3" s="70"/>
      <c r="C3" s="70"/>
      <c r="D3" s="70"/>
      <c r="E3" s="70"/>
      <c r="F3" s="70"/>
      <c r="G3" s="70"/>
      <c r="H3" s="70"/>
      <c r="I3" s="70"/>
    </row>
    <row r="5" spans="1:9" ht="15" customHeight="1" x14ac:dyDescent="0.25">
      <c r="A5" s="22" t="s">
        <v>71</v>
      </c>
    </row>
    <row r="6" spans="1:9" ht="15" customHeight="1" x14ac:dyDescent="0.25">
      <c r="A6" s="23" t="s">
        <v>72</v>
      </c>
      <c r="B6" s="24">
        <f>COUNTA(B12:B50)</f>
        <v>13</v>
      </c>
      <c r="C6" s="23" t="s">
        <v>73</v>
      </c>
      <c r="D6" s="25">
        <f>SUM(G12:G50)</f>
        <v>448072.43</v>
      </c>
    </row>
    <row r="11" spans="1:9" ht="30" customHeight="1" x14ac:dyDescent="0.25">
      <c r="A11" s="26" t="s">
        <v>74</v>
      </c>
      <c r="B11" s="26" t="s">
        <v>75</v>
      </c>
      <c r="C11" s="26" t="s">
        <v>4</v>
      </c>
      <c r="D11" s="26" t="s">
        <v>5</v>
      </c>
      <c r="E11" s="26" t="s">
        <v>76</v>
      </c>
      <c r="F11" s="26" t="s">
        <v>77</v>
      </c>
      <c r="G11" s="26" t="s">
        <v>78</v>
      </c>
      <c r="H11" s="26" t="s">
        <v>79</v>
      </c>
      <c r="I11" s="26" t="s">
        <v>10</v>
      </c>
    </row>
    <row r="12" spans="1:9" ht="15" customHeight="1" x14ac:dyDescent="0.25">
      <c r="A12" s="27" t="str">
        <f>IF(B12="","","CX-"&amp;TEXT(COUNTA($B$12:B12),"000"))</f>
        <v>CX-001</v>
      </c>
      <c r="B12" s="28">
        <v>28</v>
      </c>
      <c r="C12" s="29" t="str">
        <f>IF(B12="","",INDEX(Movimentos!A:A,B12))</f>
        <v>06-08-2026</v>
      </c>
      <c r="D12" s="30" t="str">
        <f>IF(B12="","",INDEX(Movimentos!B:B,B12))</f>
        <v>TPA-MCX504808**</v>
      </c>
      <c r="E12" s="30" t="str">
        <f>IF(B12="","",IF(INDEX(Movimentos!G:G,B12)="",INDEX(Movimentos!C:C,B12),INDEX(Movimentos!G:G,B12)))</f>
        <v>Gráfica Tamaco - panfletos</v>
      </c>
      <c r="F12" s="31" t="s">
        <v>80</v>
      </c>
      <c r="G12" s="32">
        <f>IF(B12="","",INDEX(Movimentos!E:E,B12))</f>
        <v>100000</v>
      </c>
      <c r="H12" s="33"/>
      <c r="I12" s="30" t="str">
        <f>IF(B12="","",INDEX(Movimentos!G:G,B12))</f>
        <v>Gráfica Tamaco - panfletos</v>
      </c>
    </row>
    <row r="13" spans="1:9" ht="15" customHeight="1" x14ac:dyDescent="0.25">
      <c r="A13" s="27" t="str">
        <f>IF(B13="","","CX-"&amp;TEXT(COUNTA($B$12:B13),"000"))</f>
        <v>CX-002</v>
      </c>
      <c r="B13" s="28">
        <v>31</v>
      </c>
      <c r="C13" s="29" t="str">
        <f>IF(B13="","",INDEX(Movimentos!A:A,B13))</f>
        <v>09-08-2026</v>
      </c>
      <c r="D13" s="30" t="str">
        <f>IF(B13="","",INDEX(Movimentos!B:B,B13))</f>
        <v>TPA-MCX504808**</v>
      </c>
      <c r="E13" s="30" t="str">
        <f>IF(B13="","",IF(INDEX(Movimentos!G:G,B13)="",INDEX(Movimentos!C:C,B13),INDEX(Movimentos!G:G,B13)))</f>
        <v>Maxi - Produtos de higiene</v>
      </c>
      <c r="F13" s="31" t="s">
        <v>81</v>
      </c>
      <c r="G13" s="32">
        <f>IF(B13="","",INDEX(Movimentos!E:E,B13))</f>
        <v>12251</v>
      </c>
      <c r="H13" s="33" t="s">
        <v>82</v>
      </c>
      <c r="I13" s="30" t="str">
        <f>IF(B13="","",INDEX(Movimentos!G:G,B13))</f>
        <v>Maxi - Produtos de higiene</v>
      </c>
    </row>
    <row r="14" spans="1:9" ht="15" customHeight="1" x14ac:dyDescent="0.25">
      <c r="A14" s="27" t="str">
        <f>IF(B14="","","CX-"&amp;TEXT(COUNTA($B$12:B14),"000"))</f>
        <v>CX-003</v>
      </c>
      <c r="B14" s="28">
        <v>32</v>
      </c>
      <c r="C14" s="29" t="str">
        <f>IF(B14="","",INDEX(Movimentos!A:A,B14))</f>
        <v>09-08-2026</v>
      </c>
      <c r="D14" s="30" t="str">
        <f>IF(B14="","",INDEX(Movimentos!B:B,B14))</f>
        <v>TPA-MCX504808**</v>
      </c>
      <c r="E14" s="30" t="str">
        <f>IF(B14="","",IF(INDEX(Movimentos!G:G,B14)="",INDEX(Movimentos!C:C,B14),INDEX(Movimentos!G:G,B14)))</f>
        <v>Sistec - Cartuchos Impressora</v>
      </c>
      <c r="F14" s="31" t="s">
        <v>83</v>
      </c>
      <c r="G14" s="32">
        <f>IF(B14="","",INDEX(Movimentos!E:E,B14))</f>
        <v>162493.43</v>
      </c>
      <c r="H14" s="33" t="s">
        <v>84</v>
      </c>
      <c r="I14" s="30" t="str">
        <f>IF(B14="","",INDEX(Movimentos!G:G,B14))</f>
        <v>Sistec - Cartuchos Impressora</v>
      </c>
    </row>
    <row r="15" spans="1:9" ht="15" customHeight="1" x14ac:dyDescent="0.25">
      <c r="A15" s="27" t="str">
        <f>IF(B15="","","CX-"&amp;TEXT(COUNTA($B$12:B15),"000"))</f>
        <v>CX-004</v>
      </c>
      <c r="B15" s="28">
        <v>33</v>
      </c>
      <c r="C15" s="29" t="str">
        <f>IF(B15="","",INDEX(Movimentos!A:A,B15))</f>
        <v>09-08-2026</v>
      </c>
      <c r="D15" s="30" t="str">
        <f>IF(B15="","",INDEX(Movimentos!B:B,B15))</f>
        <v>TPA-MCX504808**</v>
      </c>
      <c r="E15" s="30" t="str">
        <f>IF(B15="","",IF(INDEX(Movimentos!G:G,B15)="",INDEX(Movimentos!C:C,B15),INDEX(Movimentos!G:G,B15)))</f>
        <v>Compra saco de gesso e lixas</v>
      </c>
      <c r="F15" s="31" t="s">
        <v>85</v>
      </c>
      <c r="G15" s="32">
        <f>IF(B15="","",INDEX(Movimentos!E:E,B15))</f>
        <v>18000</v>
      </c>
      <c r="H15" s="33">
        <v>1403</v>
      </c>
      <c r="I15" s="30" t="str">
        <f>IF(B15="","",INDEX(Movimentos!G:G,B15))</f>
        <v>Compra saco de gesso e lixas</v>
      </c>
    </row>
    <row r="16" spans="1:9" ht="15" customHeight="1" x14ac:dyDescent="0.25">
      <c r="A16" s="27" t="str">
        <f>IF(B16="","","CX-"&amp;TEXT(COUNTA($B$12:B16),"000"))</f>
        <v>CX-005</v>
      </c>
      <c r="B16" s="28">
        <v>36</v>
      </c>
      <c r="C16" s="29" t="str">
        <f>IF(B16="","",INDEX(Movimentos!A:A,B16))</f>
        <v>11-08-2026</v>
      </c>
      <c r="D16" s="30" t="str">
        <f>IF(B16="","",INDEX(Movimentos!B:B,B16))</f>
        <v>TPA-MCX504808**</v>
      </c>
      <c r="E16" s="30" t="str">
        <f>IF(B16="","",IF(INDEX(Movimentos!G:G,B16)="",INDEX(Movimentos!C:C,B16),INDEX(Movimentos!G:G,B16)))</f>
        <v>Compra Rolos p/ multicaixa</v>
      </c>
      <c r="F16" s="31" t="s">
        <v>86</v>
      </c>
      <c r="G16" s="32">
        <f>IF(B16="","",INDEX(Movimentos!E:E,B16))</f>
        <v>2250</v>
      </c>
      <c r="H16" s="33" t="s">
        <v>87</v>
      </c>
      <c r="I16" s="30" t="str">
        <f>IF(B16="","",INDEX(Movimentos!G:G,B16))</f>
        <v>Compra Rolos p/ multicaixa</v>
      </c>
    </row>
    <row r="17" spans="1:9" ht="15" customHeight="1" x14ac:dyDescent="0.25">
      <c r="A17" s="27" t="str">
        <f>IF(B17="","","CX-"&amp;TEXT(COUNTA($B$12:B17),"000"))</f>
        <v>CX-006</v>
      </c>
      <c r="B17" s="28">
        <v>41</v>
      </c>
      <c r="C17" s="29" t="str">
        <f>IF(B17="","",INDEX(Movimentos!A:A,B17))</f>
        <v>13-08-2026</v>
      </c>
      <c r="D17" s="30" t="str">
        <f>IF(B17="","",INDEX(Movimentos!B:B,B17))</f>
        <v>TPA-MCX504808**</v>
      </c>
      <c r="E17" s="30" t="str">
        <f>IF(B17="","",IF(INDEX(Movimentos!G:G,B17)="",INDEX(Movimentos!C:C,B17),INDEX(Movimentos!G:G,B17)))</f>
        <v>Sonangol Combustível Viatura</v>
      </c>
      <c r="F17" s="31" t="s">
        <v>88</v>
      </c>
      <c r="G17" s="32">
        <f>IF(B17="","",INDEX(Movimentos!E:E,B17))</f>
        <v>21198</v>
      </c>
      <c r="H17" s="33" t="s">
        <v>89</v>
      </c>
      <c r="I17" s="30" t="str">
        <f>IF(B17="","",INDEX(Movimentos!G:G,B17))</f>
        <v>Sonangol Combustível Viatura</v>
      </c>
    </row>
    <row r="18" spans="1:9" ht="15" customHeight="1" x14ac:dyDescent="0.25">
      <c r="A18" s="27" t="str">
        <f>IF(B18="","","CX-"&amp;TEXT(COUNTA($B$12:B18),"000"))</f>
        <v>CX-007</v>
      </c>
      <c r="B18" s="28">
        <v>42</v>
      </c>
      <c r="C18" s="34" t="str">
        <f>IF(B18="","",INDEX(Movimentos!A:A,B18))</f>
        <v>14-08-2026</v>
      </c>
      <c r="D18" s="24" t="str">
        <f>IF(B18="","",INDEX(Movimentos!B:B,B18))</f>
        <v>TPA-MCX504808**</v>
      </c>
      <c r="E18" s="24" t="str">
        <f>IF(B18="","",IF(INDEX(Movimentos!G:G,B18)="",INDEX(Movimentos!C:C,B18),INDEX(Movimentos!G:G,B18)))</f>
        <v>A reembolsar</v>
      </c>
      <c r="F18" s="35"/>
      <c r="G18" s="36">
        <f>IF(B18="","",INDEX(Movimentos!E:E,B18))</f>
        <v>28750</v>
      </c>
      <c r="H18" s="35"/>
      <c r="I18" s="24" t="str">
        <f>IF(B18="","",INDEX(Movimentos!G:G,B18))</f>
        <v>A reembolsar</v>
      </c>
    </row>
    <row r="19" spans="1:9" ht="15" customHeight="1" x14ac:dyDescent="0.25">
      <c r="A19" s="27" t="str">
        <f>IF(B19="","","CX-"&amp;TEXT(COUNTA($B$12:B19),"000"))</f>
        <v>CX-008</v>
      </c>
      <c r="B19" s="28">
        <v>43</v>
      </c>
      <c r="C19" s="34" t="str">
        <f>IF(B19="","",INDEX(Movimentos!A:A,B19))</f>
        <v>14-08-2026</v>
      </c>
      <c r="D19" s="24" t="str">
        <f>IF(B19="","",INDEX(Movimentos!B:B,B19))</f>
        <v>TPA-MCX504808**</v>
      </c>
      <c r="E19" s="24" t="str">
        <f>IF(B19="","",IF(INDEX(Movimentos!G:G,B19)="",INDEX(Movimentos!C:C,B19),INDEX(Movimentos!G:G,B19)))</f>
        <v>A reembolsar</v>
      </c>
      <c r="F19" s="35"/>
      <c r="G19" s="36">
        <f>IF(B19="","",INDEX(Movimentos!E:E,B19))</f>
        <v>2000</v>
      </c>
      <c r="H19" s="35"/>
      <c r="I19" s="24" t="str">
        <f>IF(B19="","",INDEX(Movimentos!G:G,B19))</f>
        <v>A reembolsar</v>
      </c>
    </row>
    <row r="20" spans="1:9" ht="15" customHeight="1" x14ac:dyDescent="0.25">
      <c r="A20" s="27" t="str">
        <f>IF(B20="","","CX-"&amp;TEXT(COUNTA($B$12:B20),"000"))</f>
        <v>CX-009</v>
      </c>
      <c r="B20" s="28">
        <v>44</v>
      </c>
      <c r="C20" s="34" t="str">
        <f>IF(B20="","",INDEX(Movimentos!A:A,B20))</f>
        <v>17-08-2026</v>
      </c>
      <c r="D20" s="24" t="str">
        <f>IF(B20="","",INDEX(Movimentos!B:B,B20))</f>
        <v>Serviço Especial</v>
      </c>
      <c r="E20" s="24" t="str">
        <f>IF(B20="","",IF(INDEX(Movimentos!G:G,B20)="",INDEX(Movimentos!C:C,B20),INDEX(Movimentos!G:G,B20)))</f>
        <v>Pagmto ZAP Fibra - internet</v>
      </c>
      <c r="F20" s="35" t="s">
        <v>90</v>
      </c>
      <c r="G20" s="36">
        <f>IF(B20="","",INDEX(Movimentos!E:E,B20))</f>
        <v>34590</v>
      </c>
      <c r="H20" s="35">
        <v>664</v>
      </c>
      <c r="I20" s="24" t="str">
        <f>IF(B20="","",INDEX(Movimentos!G:G,B20))</f>
        <v>Pagmto ZAP Fibra - internet</v>
      </c>
    </row>
    <row r="21" spans="1:9" ht="15" customHeight="1" x14ac:dyDescent="0.25">
      <c r="A21" s="27" t="str">
        <f>IF(B21="","","CX-"&amp;TEXT(COUNTA($B$12:B21),"000"))</f>
        <v>CX-010</v>
      </c>
      <c r="B21" s="28">
        <v>45</v>
      </c>
      <c r="C21" s="34">
        <f>IF(B21="","",INDEX(Movimentos!A:A,B21))</f>
        <v>46251</v>
      </c>
      <c r="D21" s="24" t="str">
        <f>IF(B21="","",INDEX(Movimentos!B:B,B21))</f>
        <v>ATM-MCX504808**3</v>
      </c>
      <c r="E21" s="24" t="str">
        <f>IF(B21="","",IF(INDEX(Movimentos!G:G,B21)="",INDEX(Movimentos!C:C,B21),INDEX(Movimentos!G:G,B21)))</f>
        <v>Levantamento ATM</v>
      </c>
      <c r="F21" s="35"/>
      <c r="G21" s="36">
        <f>IF(B21="","",INDEX(Movimentos!E:E,B21))</f>
        <v>20000</v>
      </c>
      <c r="H21" s="35"/>
      <c r="I21" s="24">
        <f>IF(B21="","",INDEX(Movimentos!G:G,B21))</f>
        <v>0</v>
      </c>
    </row>
    <row r="22" spans="1:9" ht="15" customHeight="1" x14ac:dyDescent="0.25">
      <c r="A22" s="27" t="str">
        <f>IF(B22="","","CX-"&amp;TEXT(COUNTA($B$12:B22),"000"))</f>
        <v>CX-011</v>
      </c>
      <c r="B22" s="28">
        <v>46</v>
      </c>
      <c r="C22" s="34">
        <f>IF(B22="","",INDEX(Movimentos!A:A,B22))</f>
        <v>46251</v>
      </c>
      <c r="D22" s="24" t="str">
        <f>IF(B22="","",INDEX(Movimentos!B:B,B22))</f>
        <v>TPA-MCX504808**</v>
      </c>
      <c r="E22" s="24" t="str">
        <f>IF(B22="","",IF(INDEX(Movimentos!G:G,B22)="",INDEX(Movimentos!C:C,B22),INDEX(Movimentos!G:G,B22)))</f>
        <v>FNK - Peixe p/ funcionários</v>
      </c>
      <c r="F22" s="35"/>
      <c r="G22" s="36">
        <f>IF(B22="","",INDEX(Movimentos!E:E,B22))</f>
        <v>17500</v>
      </c>
      <c r="H22" s="35"/>
      <c r="I22" s="24" t="str">
        <f>IF(B22="","",INDEX(Movimentos!G:G,B22))</f>
        <v>FNK - Peixe p/ funcionários</v>
      </c>
    </row>
    <row r="23" spans="1:9" ht="15" customHeight="1" x14ac:dyDescent="0.25">
      <c r="A23" s="27" t="str">
        <f>IF(B23="","","CX-"&amp;TEXT(COUNTA($B$12:B23),"000"))</f>
        <v>CX-012</v>
      </c>
      <c r="B23" s="28">
        <v>47</v>
      </c>
      <c r="C23" s="34">
        <f>IF(B23="","",INDEX(Movimentos!A:A,B23))</f>
        <v>46251</v>
      </c>
      <c r="D23" s="24" t="str">
        <f>IF(B23="","",INDEX(Movimentos!B:B,B23))</f>
        <v>ATM-MCX504808*3</v>
      </c>
      <c r="E23" s="24" t="str">
        <f>IF(B23="","",IF(INDEX(Movimentos!G:G,B23)="",INDEX(Movimentos!C:C,B23),INDEX(Movimentos!G:G,B23)))</f>
        <v>Levantamento ATM</v>
      </c>
      <c r="F23" s="35"/>
      <c r="G23" s="36">
        <f>IF(B23="","",INDEX(Movimentos!E:E,B23))</f>
        <v>10000</v>
      </c>
      <c r="H23" s="35"/>
      <c r="I23" s="24">
        <f>IF(B23="","",INDEX(Movimentos!G:G,B23))</f>
        <v>0</v>
      </c>
    </row>
    <row r="24" spans="1:9" ht="15" customHeight="1" x14ac:dyDescent="0.25">
      <c r="A24" s="27" t="str">
        <f>IF(B24="","","CX-"&amp;TEXT(COUNTA($B$12:B24),"000"))</f>
        <v>CX-013</v>
      </c>
      <c r="B24" s="28">
        <v>48</v>
      </c>
      <c r="C24" s="34">
        <f>IF(B24="","",INDEX(Movimentos!A:A,B24))</f>
        <v>46251</v>
      </c>
      <c r="D24" s="24" t="str">
        <f>IF(B24="","",INDEX(Movimentos!B:B,B24))</f>
        <v>TPA-MCX504808**</v>
      </c>
      <c r="E24" s="24" t="str">
        <f>IF(B24="","",IF(INDEX(Movimentos!G:G,B24)="",INDEX(Movimentos!C:C,B24),INDEX(Movimentos!G:G,B24)))</f>
        <v>Kero - Compra funcionários</v>
      </c>
      <c r="F24" s="35"/>
      <c r="G24" s="25">
        <f>IF(B24="","",INDEX(Movimentos!E:E,B24))</f>
        <v>19040</v>
      </c>
      <c r="H24" s="35"/>
      <c r="I24" s="24" t="str">
        <f>IF(B24="","",INDEX(Movimentos!G:G,B24))</f>
        <v>Kero - Compra funcionários</v>
      </c>
    </row>
    <row r="25" spans="1:9" ht="15" customHeight="1" x14ac:dyDescent="0.25">
      <c r="A25" s="27" t="str">
        <f>IF(B25="","","CX-"&amp;TEXT(COUNTA($B$12:B25),"000"))</f>
        <v/>
      </c>
      <c r="B25" s="28"/>
      <c r="C25" s="34" t="str">
        <f>IF(B25="","",INDEX(Movimentos!A:A,B25))</f>
        <v/>
      </c>
      <c r="D25" s="24" t="str">
        <f>IF(B25="","",INDEX(Movimentos!B:B,B25))</f>
        <v/>
      </c>
      <c r="E25" s="24" t="str">
        <f>IF(B25="","",IF(INDEX(Movimentos!G:G,B25)="",INDEX(Movimentos!C:C,B25),INDEX(Movimentos!G:G,B25)))</f>
        <v/>
      </c>
      <c r="F25" s="35"/>
      <c r="G25" s="25" t="str">
        <f>IF(B25="","",INDEX(Movimentos!E:E,B25))</f>
        <v/>
      </c>
      <c r="H25" s="35"/>
      <c r="I25" s="24" t="str">
        <f>IF(B25="","",INDEX(Movimentos!G:G,B25))</f>
        <v/>
      </c>
    </row>
    <row r="26" spans="1:9" ht="15" customHeight="1" x14ac:dyDescent="0.25">
      <c r="A26" s="27" t="str">
        <f>IF(B26="","","CX-"&amp;TEXT(COUNTA($B$12:B26),"000"))</f>
        <v/>
      </c>
      <c r="B26" s="28"/>
      <c r="C26" s="34" t="str">
        <f>IF(B26="","",INDEX(Movimentos!A:A,B26))</f>
        <v/>
      </c>
      <c r="D26" s="24" t="str">
        <f>IF(B26="","",INDEX(Movimentos!B:B,B26))</f>
        <v/>
      </c>
      <c r="E26" s="24" t="str">
        <f>IF(B26="","",IF(INDEX(Movimentos!G:G,B26)="",INDEX(Movimentos!C:C,B26),INDEX(Movimentos!G:G,B26)))</f>
        <v/>
      </c>
      <c r="F26" s="35"/>
      <c r="G26" s="25" t="str">
        <f>IF(B26="","",INDEX(Movimentos!E:E,B26))</f>
        <v/>
      </c>
      <c r="H26" s="35"/>
      <c r="I26" s="24" t="str">
        <f>IF(B26="","",INDEX(Movimentos!G:G,B26))</f>
        <v/>
      </c>
    </row>
    <row r="27" spans="1:9" ht="15" customHeight="1" x14ac:dyDescent="0.25">
      <c r="A27" s="27" t="str">
        <f>IF(B27="","","CX-"&amp;TEXT(COUNTA($B$12:B27),"000"))</f>
        <v/>
      </c>
      <c r="B27" s="28"/>
      <c r="C27" s="34" t="str">
        <f>IF(B27="","",INDEX(Movimentos!A:A,B27))</f>
        <v/>
      </c>
      <c r="D27" s="24" t="str">
        <f>IF(B27="","",INDEX(Movimentos!B:B,B27))</f>
        <v/>
      </c>
      <c r="E27" s="24" t="str">
        <f>IF(B27="","",IF(INDEX(Movimentos!G:G,B27)="",INDEX(Movimentos!C:C,B27),INDEX(Movimentos!G:G,B27)))</f>
        <v/>
      </c>
      <c r="F27" s="35"/>
      <c r="G27" s="25" t="str">
        <f>IF(B27="","",INDEX(Movimentos!E:E,B27))</f>
        <v/>
      </c>
      <c r="H27" s="35"/>
      <c r="I27" s="24" t="str">
        <f>IF(B27="","",INDEX(Movimentos!G:G,B27))</f>
        <v/>
      </c>
    </row>
    <row r="28" spans="1:9" ht="15" customHeight="1" x14ac:dyDescent="0.25">
      <c r="A28" s="27" t="str">
        <f>IF(B28="","","CX-"&amp;TEXT(COUNTA($B$12:B28),"000"))</f>
        <v/>
      </c>
      <c r="B28" s="28"/>
      <c r="C28" s="34" t="str">
        <f>IF(B28="","",INDEX(Movimentos!A:A,B28))</f>
        <v/>
      </c>
      <c r="D28" s="24" t="str">
        <f>IF(B28="","",INDEX(Movimentos!B:B,B28))</f>
        <v/>
      </c>
      <c r="E28" s="24" t="str">
        <f>IF(B28="","",IF(INDEX(Movimentos!G:G,B28)="",INDEX(Movimentos!C:C,B28),INDEX(Movimentos!G:G,B28)))</f>
        <v/>
      </c>
      <c r="F28" s="35"/>
      <c r="G28" s="25" t="str">
        <f>IF(B28="","",INDEX(Movimentos!E:E,B28))</f>
        <v/>
      </c>
      <c r="H28" s="35"/>
      <c r="I28" s="24" t="str">
        <f>IF(B28="","",INDEX(Movimentos!G:G,B28))</f>
        <v/>
      </c>
    </row>
    <row r="29" spans="1:9" ht="15" customHeight="1" x14ac:dyDescent="0.25">
      <c r="A29" s="27" t="str">
        <f>IF(B29="","","CX-"&amp;TEXT(COUNTA($B$12:B29),"000"))</f>
        <v/>
      </c>
      <c r="B29" s="28"/>
      <c r="C29" s="34" t="str">
        <f>IF(B29="","",INDEX(Movimentos!A:A,B29))</f>
        <v/>
      </c>
      <c r="D29" s="24" t="str">
        <f>IF(B29="","",INDEX(Movimentos!B:B,B29))</f>
        <v/>
      </c>
      <c r="E29" s="24" t="str">
        <f>IF(B29="","",IF(INDEX(Movimentos!G:G,B29)="",INDEX(Movimentos!C:C,B29),INDEX(Movimentos!G:G,B29)))</f>
        <v/>
      </c>
      <c r="F29" s="35"/>
      <c r="G29" s="25" t="str">
        <f>IF(B29="","",INDEX(Movimentos!E:E,B29))</f>
        <v/>
      </c>
      <c r="H29" s="35"/>
      <c r="I29" s="24" t="str">
        <f>IF(B29="","",INDEX(Movimentos!G:G,B29))</f>
        <v/>
      </c>
    </row>
    <row r="30" spans="1:9" ht="15" customHeight="1" x14ac:dyDescent="0.25">
      <c r="A30" s="27" t="str">
        <f>IF(B30="","","CX-"&amp;TEXT(COUNTA($B$12:B30),"000"))</f>
        <v/>
      </c>
      <c r="B30" s="28"/>
      <c r="C30" s="34" t="str">
        <f>IF(B30="","",INDEX(Movimentos!A:A,B30))</f>
        <v/>
      </c>
      <c r="D30" s="24" t="str">
        <f>IF(B30="","",INDEX(Movimentos!B:B,B30))</f>
        <v/>
      </c>
      <c r="E30" s="24" t="str">
        <f>IF(B30="","",IF(INDEX(Movimentos!G:G,B30)="",INDEX(Movimentos!C:C,B30),INDEX(Movimentos!G:G,B30)))</f>
        <v/>
      </c>
      <c r="F30" s="35"/>
      <c r="G30" s="25" t="str">
        <f>IF(B30="","",INDEX(Movimentos!E:E,B30))</f>
        <v/>
      </c>
      <c r="H30" s="35"/>
      <c r="I30" s="24" t="str">
        <f>IF(B30="","",INDEX(Movimentos!G:G,B30))</f>
        <v/>
      </c>
    </row>
    <row r="31" spans="1:9" ht="15" customHeight="1" x14ac:dyDescent="0.25">
      <c r="A31" s="27" t="str">
        <f>IF(B31="","","CX-"&amp;TEXT(COUNTA($B$12:B31),"000"))</f>
        <v/>
      </c>
      <c r="B31" s="28"/>
      <c r="C31" s="34" t="str">
        <f>IF(B31="","",INDEX(Movimentos!A:A,B31))</f>
        <v/>
      </c>
      <c r="D31" s="24" t="str">
        <f>IF(B31="","",INDEX(Movimentos!B:B,B31))</f>
        <v/>
      </c>
      <c r="E31" s="24" t="str">
        <f>IF(B31="","",IF(INDEX(Movimentos!G:G,B31)="",INDEX(Movimentos!C:C,B31),INDEX(Movimentos!G:G,B31)))</f>
        <v/>
      </c>
      <c r="F31" s="35"/>
      <c r="G31" s="25" t="str">
        <f>IF(B31="","",INDEX(Movimentos!E:E,B31))</f>
        <v/>
      </c>
      <c r="H31" s="35"/>
      <c r="I31" s="24" t="str">
        <f>IF(B31="","",INDEX(Movimentos!G:G,B31))</f>
        <v/>
      </c>
    </row>
    <row r="32" spans="1:9" ht="15" customHeight="1" x14ac:dyDescent="0.25">
      <c r="A32" s="27" t="str">
        <f>IF(B32="","","CX-"&amp;TEXT(COUNTA($B$12:B32),"000"))</f>
        <v/>
      </c>
      <c r="B32" s="28"/>
      <c r="C32" s="34" t="str">
        <f>IF(B32="","",INDEX(Movimentos!A:A,B32))</f>
        <v/>
      </c>
      <c r="D32" s="24" t="str">
        <f>IF(B32="","",INDEX(Movimentos!B:B,B32))</f>
        <v/>
      </c>
      <c r="E32" s="24" t="str">
        <f>IF(B32="","",IF(INDEX(Movimentos!G:G,B32)="",INDEX(Movimentos!C:C,B32),INDEX(Movimentos!G:G,B32)))</f>
        <v/>
      </c>
      <c r="F32" s="35"/>
      <c r="G32" s="25" t="str">
        <f>IF(B32="","",INDEX(Movimentos!E:E,B32))</f>
        <v/>
      </c>
      <c r="H32" s="35"/>
      <c r="I32" s="24" t="str">
        <f>IF(B32="","",INDEX(Movimentos!G:G,B32))</f>
        <v/>
      </c>
    </row>
    <row r="33" spans="1:9" ht="15" customHeight="1" x14ac:dyDescent="0.25">
      <c r="A33" s="27" t="str">
        <f>IF(B33="","","CX-"&amp;TEXT(COUNTA($B$12:B33),"000"))</f>
        <v/>
      </c>
      <c r="B33" s="28"/>
      <c r="C33" s="34" t="str">
        <f>IF(B33="","",INDEX(Movimentos!A:A,B33))</f>
        <v/>
      </c>
      <c r="D33" s="24" t="str">
        <f>IF(B33="","",INDEX(Movimentos!B:B,B33))</f>
        <v/>
      </c>
      <c r="E33" s="24" t="str">
        <f>IF(B33="","",IF(INDEX(Movimentos!G:G,B33)="",INDEX(Movimentos!C:C,B33),INDEX(Movimentos!G:G,B33)))</f>
        <v/>
      </c>
      <c r="F33" s="35"/>
      <c r="G33" s="25" t="str">
        <f>IF(B33="","",INDEX(Movimentos!E:E,B33))</f>
        <v/>
      </c>
      <c r="H33" s="35"/>
      <c r="I33" s="24" t="str">
        <f>IF(B33="","",INDEX(Movimentos!G:G,B33))</f>
        <v/>
      </c>
    </row>
    <row r="34" spans="1:9" ht="15" customHeight="1" x14ac:dyDescent="0.25">
      <c r="A34" s="27" t="str">
        <f>IF(B34="","","CX-"&amp;TEXT(COUNTA($B$12:B34),"000"))</f>
        <v/>
      </c>
      <c r="B34" s="28"/>
      <c r="C34" s="34" t="str">
        <f>IF(B34="","",INDEX(Movimentos!A:A,B34))</f>
        <v/>
      </c>
      <c r="D34" s="24" t="str">
        <f>IF(B34="","",INDEX(Movimentos!B:B,B34))</f>
        <v/>
      </c>
      <c r="E34" s="24" t="str">
        <f>IF(B34="","",IF(INDEX(Movimentos!G:G,B34)="",INDEX(Movimentos!C:C,B34),INDEX(Movimentos!G:G,B34)))</f>
        <v/>
      </c>
      <c r="F34" s="35"/>
      <c r="G34" s="25" t="str">
        <f>IF(B34="","",INDEX(Movimentos!E:E,B34))</f>
        <v/>
      </c>
      <c r="H34" s="35"/>
      <c r="I34" s="24" t="str">
        <f>IF(B34="","",INDEX(Movimentos!G:G,B34))</f>
        <v/>
      </c>
    </row>
    <row r="35" spans="1:9" ht="15" customHeight="1" x14ac:dyDescent="0.25">
      <c r="A35" s="27" t="str">
        <f>IF(B35="","","CX-"&amp;TEXT(COUNTA($B$12:B35),"000"))</f>
        <v/>
      </c>
      <c r="B35" s="28"/>
      <c r="C35" s="34" t="str">
        <f>IF(B35="","",INDEX(Movimentos!A:A,B35))</f>
        <v/>
      </c>
      <c r="D35" s="24" t="str">
        <f>IF(B35="","",INDEX(Movimentos!B:B,B35))</f>
        <v/>
      </c>
      <c r="E35" s="24" t="str">
        <f>IF(B35="","",IF(INDEX(Movimentos!G:G,B35)="",INDEX(Movimentos!C:C,B35),INDEX(Movimentos!G:G,B35)))</f>
        <v/>
      </c>
      <c r="F35" s="35"/>
      <c r="G35" s="25" t="str">
        <f>IF(B35="","",INDEX(Movimentos!E:E,B35))</f>
        <v/>
      </c>
      <c r="H35" s="35"/>
      <c r="I35" s="24" t="str">
        <f>IF(B35="","",INDEX(Movimentos!G:G,B35))</f>
        <v/>
      </c>
    </row>
    <row r="38" spans="1:9" ht="15" customHeight="1" x14ac:dyDescent="0.25">
      <c r="A38" s="37" t="s">
        <v>91</v>
      </c>
    </row>
    <row r="39" spans="1:9" ht="54.75" customHeight="1" x14ac:dyDescent="0.25">
      <c r="A39" s="77" t="s">
        <v>92</v>
      </c>
      <c r="B39" s="70"/>
      <c r="C39" s="70"/>
      <c r="D39" s="70"/>
      <c r="E39" s="70"/>
      <c r="F39" s="70"/>
      <c r="G39" s="70"/>
      <c r="H39" s="70"/>
      <c r="I39" s="70"/>
    </row>
    <row r="41" spans="1:9" ht="15" customHeight="1" x14ac:dyDescent="0.25">
      <c r="A41" s="73"/>
      <c r="B41" s="70"/>
      <c r="C41" s="70"/>
      <c r="D41" s="70"/>
      <c r="E41" s="70"/>
      <c r="F41" s="70"/>
      <c r="G41" s="70"/>
      <c r="H41" s="70"/>
      <c r="I41" s="70"/>
    </row>
  </sheetData>
  <mergeCells count="5">
    <mergeCell ref="A41:I41"/>
    <mergeCell ref="A2:I2"/>
    <mergeCell ref="A1:I1"/>
    <mergeCell ref="A3:I3"/>
    <mergeCell ref="A39:I39"/>
  </mergeCells>
  <printOptions horizontalCentered="1"/>
  <pageMargins left="0.5" right="0.5" top="0.7" bottom="0.7" header="0.3" footer="0.3"/>
  <pageSetup paperSize="9" fitToHeight="0" orientation="landscape" horizontalDpi="300" verticalDpi="300"/>
  <headerFooter>
    <oddHeader>&amp;C&amp;"Arial,Bold"&amp;10 Arquivo Faturas Cartão</oddHeader>
    <oddFooter>&amp;LÉcole Consulaire du Congo – Luanda&amp;CPágina &amp;P de &amp;N&amp;R&amp;D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32"/>
  <sheetViews>
    <sheetView zoomScaleNormal="100" workbookViewId="0">
      <pane ySplit="14" topLeftCell="A60" activePane="bottomLeft" state="frozen"/>
      <selection pane="bottomLeft" activeCell="B92" sqref="B92"/>
    </sheetView>
  </sheetViews>
  <sheetFormatPr defaultColWidth="8.7109375" defaultRowHeight="15" x14ac:dyDescent="0.25"/>
  <cols>
    <col min="1" max="1" width="18" customWidth="1"/>
    <col min="2" max="2" width="44.28515625" customWidth="1"/>
    <col min="3" max="3" width="20" customWidth="1"/>
    <col min="4" max="4" width="16" customWidth="1"/>
    <col min="5" max="5" width="20" customWidth="1"/>
    <col min="6" max="6" width="14.85546875" customWidth="1"/>
  </cols>
  <sheetData>
    <row r="1" spans="1:6" ht="19.5" customHeight="1" x14ac:dyDescent="0.25">
      <c r="A1" s="78" t="s">
        <v>93</v>
      </c>
      <c r="B1" s="70"/>
      <c r="C1" s="70"/>
      <c r="D1" s="70"/>
      <c r="E1" s="70"/>
      <c r="F1" s="70"/>
    </row>
    <row r="2" spans="1:6" ht="15" customHeight="1" x14ac:dyDescent="0.25">
      <c r="A2" s="72" t="s">
        <v>94</v>
      </c>
      <c r="B2" s="70"/>
      <c r="C2" s="70"/>
      <c r="D2" s="70"/>
      <c r="E2" s="70"/>
      <c r="F2" s="70"/>
    </row>
    <row r="4" spans="1:6" ht="15" customHeight="1" x14ac:dyDescent="0.25">
      <c r="A4" s="38" t="s">
        <v>95</v>
      </c>
      <c r="B4" s="57"/>
      <c r="C4" s="57"/>
      <c r="D4" s="57"/>
      <c r="E4" s="57"/>
      <c r="F4" s="57"/>
    </row>
    <row r="5" spans="1:6" ht="27.75" customHeight="1" x14ac:dyDescent="0.25">
      <c r="A5" s="39" t="s">
        <v>4</v>
      </c>
      <c r="B5" s="39" t="s">
        <v>96</v>
      </c>
      <c r="C5" s="39" t="s">
        <v>97</v>
      </c>
      <c r="D5" s="39" t="s">
        <v>98</v>
      </c>
      <c r="E5" s="39" t="s">
        <v>99</v>
      </c>
      <c r="F5" s="39" t="s">
        <v>100</v>
      </c>
    </row>
    <row r="6" spans="1:6" ht="15" customHeight="1" x14ac:dyDescent="0.25">
      <c r="A6" s="40" t="s">
        <v>40</v>
      </c>
      <c r="B6" s="41">
        <v>46000</v>
      </c>
      <c r="C6" s="42">
        <v>0</v>
      </c>
      <c r="D6" s="42">
        <f>SUM(C18:C25)</f>
        <v>46000</v>
      </c>
      <c r="E6" s="42">
        <f t="shared" ref="E6:E12" si="0">B6+C6-D6</f>
        <v>0</v>
      </c>
      <c r="F6" s="24" t="str">
        <f t="shared" ref="F6:F12" si="1">IF(E6&lt;=0,"ESGOTADO",IF(D6=0,"Disponível","Em uso"))</f>
        <v>ESGOTADO</v>
      </c>
    </row>
    <row r="7" spans="1:6" ht="15" customHeight="1" x14ac:dyDescent="0.25">
      <c r="A7" s="40" t="s">
        <v>46</v>
      </c>
      <c r="B7" s="41">
        <v>10000</v>
      </c>
      <c r="C7" s="42">
        <f t="shared" ref="C7:C12" si="2">MAX(0,E6)</f>
        <v>0</v>
      </c>
      <c r="D7" s="42">
        <f>SUM(C29:C36)</f>
        <v>10000</v>
      </c>
      <c r="E7" s="42">
        <f t="shared" si="0"/>
        <v>0</v>
      </c>
      <c r="F7" s="24" t="str">
        <f t="shared" si="1"/>
        <v>ESGOTADO</v>
      </c>
    </row>
    <row r="8" spans="1:6" ht="15" customHeight="1" x14ac:dyDescent="0.25">
      <c r="A8" s="40" t="s">
        <v>47</v>
      </c>
      <c r="B8" s="41">
        <v>20000</v>
      </c>
      <c r="C8" s="42">
        <f t="shared" si="2"/>
        <v>0</v>
      </c>
      <c r="D8" s="42">
        <f>SUM(C40:C47)</f>
        <v>18000</v>
      </c>
      <c r="E8" s="42">
        <f t="shared" si="0"/>
        <v>2000</v>
      </c>
      <c r="F8" s="24" t="str">
        <f t="shared" si="1"/>
        <v>Em uso</v>
      </c>
    </row>
    <row r="9" spans="1:6" ht="15" customHeight="1" x14ac:dyDescent="0.25">
      <c r="A9" s="40" t="s">
        <v>50</v>
      </c>
      <c r="B9" s="41">
        <v>20000</v>
      </c>
      <c r="C9" s="42">
        <f t="shared" si="2"/>
        <v>2000</v>
      </c>
      <c r="D9" s="42">
        <f>SUM(C51:C58)</f>
        <v>22000</v>
      </c>
      <c r="E9" s="42">
        <f t="shared" si="0"/>
        <v>0</v>
      </c>
      <c r="F9" s="24" t="str">
        <f t="shared" si="1"/>
        <v>ESGOTADO</v>
      </c>
    </row>
    <row r="10" spans="1:6" ht="15" customHeight="1" x14ac:dyDescent="0.25">
      <c r="A10" s="40" t="s">
        <v>54</v>
      </c>
      <c r="B10" s="41">
        <v>50000</v>
      </c>
      <c r="C10" s="42">
        <f t="shared" si="2"/>
        <v>0</v>
      </c>
      <c r="D10" s="42">
        <f>SUM(C62:C69)</f>
        <v>8000</v>
      </c>
      <c r="E10" s="42">
        <f t="shared" si="0"/>
        <v>42000</v>
      </c>
      <c r="F10" s="24" t="str">
        <f t="shared" si="1"/>
        <v>Em uso</v>
      </c>
    </row>
    <row r="11" spans="1:6" ht="15" customHeight="1" x14ac:dyDescent="0.25">
      <c r="A11" s="40" t="s">
        <v>63</v>
      </c>
      <c r="B11" s="41">
        <v>20000</v>
      </c>
      <c r="C11" s="42">
        <f t="shared" si="2"/>
        <v>42000</v>
      </c>
      <c r="D11" s="42">
        <f>SUM(C73:C80)</f>
        <v>20000</v>
      </c>
      <c r="E11" s="42">
        <f t="shared" si="0"/>
        <v>42000</v>
      </c>
      <c r="F11" s="24" t="str">
        <f t="shared" si="1"/>
        <v>Em uso</v>
      </c>
    </row>
    <row r="12" spans="1:6" ht="15" customHeight="1" x14ac:dyDescent="0.25">
      <c r="A12" s="40" t="s">
        <v>63</v>
      </c>
      <c r="B12" s="41">
        <v>10000</v>
      </c>
      <c r="C12" s="42">
        <f t="shared" si="2"/>
        <v>42000</v>
      </c>
      <c r="D12" s="42">
        <f>SUM(C84:C91)</f>
        <v>28800</v>
      </c>
      <c r="E12" s="42">
        <f t="shared" si="0"/>
        <v>23200</v>
      </c>
      <c r="F12" s="24" t="str">
        <f t="shared" si="1"/>
        <v>Em uso</v>
      </c>
    </row>
    <row r="13" spans="1:6" ht="15" customHeight="1" x14ac:dyDescent="0.25">
      <c r="A13" s="60" t="s">
        <v>101</v>
      </c>
      <c r="B13" s="65">
        <f>SUM(B6:B12)</f>
        <v>176000</v>
      </c>
      <c r="C13" s="65"/>
      <c r="D13" s="65">
        <f>SUM(D6:D12)</f>
        <v>152800</v>
      </c>
      <c r="E13" s="65">
        <f>E12</f>
        <v>23200</v>
      </c>
      <c r="F13" s="65"/>
    </row>
    <row r="14" spans="1:6" ht="27.75" customHeight="1" x14ac:dyDescent="0.25">
      <c r="A14" s="57"/>
      <c r="B14" s="57"/>
      <c r="C14" s="57"/>
      <c r="D14" s="57"/>
      <c r="E14" s="57"/>
      <c r="F14" s="57"/>
    </row>
    <row r="15" spans="1:6" ht="15" customHeight="1" x14ac:dyDescent="0.25">
      <c r="A15" s="85" t="s">
        <v>102</v>
      </c>
      <c r="B15" s="70"/>
      <c r="C15" s="70"/>
      <c r="D15" s="70"/>
      <c r="E15" s="70"/>
      <c r="F15" s="70"/>
    </row>
    <row r="16" spans="1:6" ht="23.25" customHeight="1" x14ac:dyDescent="0.25">
      <c r="A16" s="43" t="s">
        <v>4</v>
      </c>
      <c r="B16" s="43" t="s">
        <v>103</v>
      </c>
      <c r="C16" s="43" t="s">
        <v>104</v>
      </c>
      <c r="D16" s="43" t="s">
        <v>105</v>
      </c>
      <c r="E16" s="43" t="s">
        <v>106</v>
      </c>
      <c r="F16" s="43" t="s">
        <v>10</v>
      </c>
    </row>
    <row r="17" spans="1:6" ht="23.25" customHeight="1" x14ac:dyDescent="0.25">
      <c r="A17" s="80" t="s">
        <v>107</v>
      </c>
      <c r="B17" s="81"/>
      <c r="C17" s="81"/>
      <c r="D17" s="81"/>
      <c r="E17" s="81"/>
      <c r="F17" s="82"/>
    </row>
    <row r="18" spans="1:6" ht="15" customHeight="1" x14ac:dyDescent="0.25">
      <c r="A18" s="44">
        <v>46240</v>
      </c>
      <c r="B18" s="45" t="s">
        <v>108</v>
      </c>
      <c r="C18" s="46">
        <v>44000</v>
      </c>
      <c r="D18" s="47">
        <f>B6-IF(C18="",0,C18)</f>
        <v>2000</v>
      </c>
      <c r="E18" s="45" t="s">
        <v>109</v>
      </c>
      <c r="F18" s="48"/>
    </row>
    <row r="19" spans="1:6" ht="15" customHeight="1" x14ac:dyDescent="0.25">
      <c r="A19" s="49">
        <v>46240</v>
      </c>
      <c r="B19" s="45" t="s">
        <v>110</v>
      </c>
      <c r="C19" s="46">
        <v>2000</v>
      </c>
      <c r="D19" s="47">
        <f t="shared" ref="D19:D25" si="3">D18-IF(C19="",0,C19)</f>
        <v>0</v>
      </c>
      <c r="E19" s="45" t="s">
        <v>109</v>
      </c>
      <c r="F19" s="48"/>
    </row>
    <row r="20" spans="1:6" ht="15" customHeight="1" x14ac:dyDescent="0.25">
      <c r="A20" s="44"/>
      <c r="B20" s="48"/>
      <c r="C20" s="46"/>
      <c r="D20" s="47">
        <f t="shared" si="3"/>
        <v>0</v>
      </c>
      <c r="E20" s="48"/>
      <c r="F20" s="48"/>
    </row>
    <row r="21" spans="1:6" ht="15" customHeight="1" x14ac:dyDescent="0.25">
      <c r="A21" s="44"/>
      <c r="B21" s="48"/>
      <c r="C21" s="46"/>
      <c r="D21" s="47">
        <f t="shared" si="3"/>
        <v>0</v>
      </c>
      <c r="E21" s="48"/>
      <c r="F21" s="48"/>
    </row>
    <row r="22" spans="1:6" ht="15" customHeight="1" x14ac:dyDescent="0.25">
      <c r="A22" s="44"/>
      <c r="B22" s="48"/>
      <c r="C22" s="46"/>
      <c r="D22" s="47">
        <f t="shared" si="3"/>
        <v>0</v>
      </c>
      <c r="E22" s="48"/>
      <c r="F22" s="48"/>
    </row>
    <row r="23" spans="1:6" ht="15" customHeight="1" x14ac:dyDescent="0.25">
      <c r="A23" s="44"/>
      <c r="B23" s="48"/>
      <c r="C23" s="46"/>
      <c r="D23" s="47">
        <f t="shared" si="3"/>
        <v>0</v>
      </c>
      <c r="E23" s="48"/>
      <c r="F23" s="48"/>
    </row>
    <row r="24" spans="1:6" ht="15" customHeight="1" x14ac:dyDescent="0.25">
      <c r="A24" s="44"/>
      <c r="B24" s="48"/>
      <c r="C24" s="46"/>
      <c r="D24" s="47">
        <f t="shared" si="3"/>
        <v>0</v>
      </c>
      <c r="E24" s="48"/>
      <c r="F24" s="48"/>
    </row>
    <row r="25" spans="1:6" x14ac:dyDescent="0.25">
      <c r="A25" s="44"/>
      <c r="B25" s="48"/>
      <c r="C25" s="46"/>
      <c r="D25" s="47">
        <f t="shared" si="3"/>
        <v>0</v>
      </c>
      <c r="E25" s="48"/>
      <c r="F25" s="48"/>
    </row>
    <row r="26" spans="1:6" ht="15" customHeight="1" x14ac:dyDescent="0.25">
      <c r="A26" s="86" t="s">
        <v>111</v>
      </c>
      <c r="B26" s="82"/>
      <c r="C26">
        <f>SUM(C18:C25)</f>
        <v>46000</v>
      </c>
    </row>
    <row r="27" spans="1:6" ht="15" customHeight="1" x14ac:dyDescent="0.25"/>
    <row r="28" spans="1:6" ht="15" customHeight="1" x14ac:dyDescent="0.25">
      <c r="A28" s="80" t="str">
        <f>"▶ Levantamento 07-08-2026  —  "&amp;TEXT(B7,"#,##0")&amp;" Kz + ant. "&amp;TEXT(C7,"#,##0")&amp;" = "&amp;TEXT(B7+C7,"#,##0")&amp;" disponíveis"</f>
        <v>▶ Levantamento 07-08-2026  —  10000,0 Kz + ant. ,0 = 10000,0 disponíveis</v>
      </c>
      <c r="B28" s="81"/>
      <c r="C28" s="81"/>
      <c r="D28" s="81"/>
      <c r="E28" s="81"/>
      <c r="F28" s="82"/>
    </row>
    <row r="29" spans="1:6" ht="15" customHeight="1" x14ac:dyDescent="0.25">
      <c r="A29" s="44">
        <v>46241</v>
      </c>
      <c r="B29" s="48" t="s">
        <v>112</v>
      </c>
      <c r="C29" s="46">
        <v>2000</v>
      </c>
      <c r="D29" s="47">
        <f>B7+C7-IF(C29="",0,C29)</f>
        <v>8000</v>
      </c>
      <c r="E29" s="48"/>
      <c r="F29" s="48"/>
    </row>
    <row r="30" spans="1:6" ht="15" customHeight="1" x14ac:dyDescent="0.25">
      <c r="A30" s="44">
        <v>46241</v>
      </c>
      <c r="B30" s="48" t="s">
        <v>112</v>
      </c>
      <c r="C30" s="46">
        <v>2000</v>
      </c>
      <c r="D30" s="47">
        <f t="shared" ref="D30:D36" si="4">D29-IF(C30="",0,C30)</f>
        <v>6000</v>
      </c>
      <c r="E30" s="48"/>
      <c r="F30" s="48"/>
    </row>
    <row r="31" spans="1:6" ht="15" customHeight="1" x14ac:dyDescent="0.25">
      <c r="A31" s="44">
        <v>46241</v>
      </c>
      <c r="B31" s="48" t="s">
        <v>112</v>
      </c>
      <c r="C31" s="46">
        <v>2000</v>
      </c>
      <c r="D31" s="47">
        <f t="shared" si="4"/>
        <v>4000</v>
      </c>
      <c r="E31" s="48"/>
      <c r="F31" s="48"/>
    </row>
    <row r="32" spans="1:6" ht="15" customHeight="1" x14ac:dyDescent="0.25">
      <c r="A32" s="44">
        <v>46241</v>
      </c>
      <c r="B32" s="48" t="s">
        <v>112</v>
      </c>
      <c r="C32" s="46">
        <v>4000</v>
      </c>
      <c r="D32" s="47">
        <f t="shared" si="4"/>
        <v>0</v>
      </c>
      <c r="E32" s="48"/>
      <c r="F32" s="48"/>
    </row>
    <row r="33" spans="1:6" ht="15" customHeight="1" x14ac:dyDescent="0.25">
      <c r="A33" s="44"/>
      <c r="B33" s="48"/>
      <c r="C33" s="46"/>
      <c r="D33" s="47">
        <f t="shared" si="4"/>
        <v>0</v>
      </c>
      <c r="E33" s="48"/>
      <c r="F33" s="48"/>
    </row>
    <row r="34" spans="1:6" ht="15" customHeight="1" x14ac:dyDescent="0.25">
      <c r="A34" s="44"/>
      <c r="B34" s="48"/>
      <c r="C34" s="46"/>
      <c r="D34" s="47">
        <f t="shared" si="4"/>
        <v>0</v>
      </c>
      <c r="E34" s="48"/>
      <c r="F34" s="48"/>
    </row>
    <row r="35" spans="1:6" ht="15" customHeight="1" x14ac:dyDescent="0.25">
      <c r="A35" s="44"/>
      <c r="B35" s="48"/>
      <c r="C35" s="46"/>
      <c r="D35" s="47">
        <f t="shared" si="4"/>
        <v>0</v>
      </c>
      <c r="E35" s="48"/>
      <c r="F35" s="48"/>
    </row>
    <row r="36" spans="1:6" x14ac:dyDescent="0.25">
      <c r="A36" s="44"/>
      <c r="B36" s="48"/>
      <c r="C36" s="46"/>
      <c r="D36" s="47">
        <f t="shared" si="4"/>
        <v>0</v>
      </c>
      <c r="E36" s="48"/>
      <c r="F36" s="48"/>
    </row>
    <row r="37" spans="1:6" ht="15" customHeight="1" x14ac:dyDescent="0.25">
      <c r="A37" s="86" t="s">
        <v>111</v>
      </c>
      <c r="B37" s="82"/>
      <c r="C37">
        <f>SUM(C29:C36)</f>
        <v>10000</v>
      </c>
    </row>
    <row r="38" spans="1:6" ht="23.25" customHeight="1" x14ac:dyDescent="0.25"/>
    <row r="39" spans="1:6" ht="23.25" customHeight="1" x14ac:dyDescent="0.25">
      <c r="A39" s="80" t="str">
        <f>"▶ Levantamento 08-08-2026  —  "&amp;TEXT(B8,"#,##0")&amp;" Kz + ant. "&amp;TEXT(C8,"#,##0")&amp;" = "&amp;TEXT(B8+C8,"#,##0")&amp;" disponíveis"</f>
        <v>▶ Levantamento 08-08-2026  —  20000,0 Kz + ant. ,0 = 20000,0 disponíveis</v>
      </c>
      <c r="B39" s="81"/>
      <c r="C39" s="81"/>
      <c r="D39" s="81"/>
      <c r="E39" s="81"/>
      <c r="F39" s="82"/>
    </row>
    <row r="40" spans="1:6" ht="23.25" customHeight="1" x14ac:dyDescent="0.25">
      <c r="A40" s="44">
        <v>46242</v>
      </c>
      <c r="B40" s="45" t="s">
        <v>113</v>
      </c>
      <c r="C40" s="46">
        <v>10000</v>
      </c>
      <c r="D40" s="47">
        <f>B8+C8-IF(C40="",0,C40)</f>
        <v>10000</v>
      </c>
      <c r="E40" s="45" t="s">
        <v>114</v>
      </c>
      <c r="F40" s="48"/>
    </row>
    <row r="41" spans="1:6" ht="23.25" customHeight="1" x14ac:dyDescent="0.25">
      <c r="A41" s="44">
        <v>46242</v>
      </c>
      <c r="B41" s="45" t="s">
        <v>115</v>
      </c>
      <c r="C41" s="46">
        <v>1000</v>
      </c>
      <c r="D41" s="47">
        <f t="shared" ref="D41:D47" si="5">D40-IF(C41="",0,C41)</f>
        <v>9000</v>
      </c>
      <c r="E41" s="45" t="s">
        <v>116</v>
      </c>
      <c r="F41" s="48"/>
    </row>
    <row r="42" spans="1:6" ht="15" customHeight="1" x14ac:dyDescent="0.25">
      <c r="A42" s="44">
        <v>46242</v>
      </c>
      <c r="B42" s="45" t="s">
        <v>117</v>
      </c>
      <c r="C42" s="46">
        <v>4000</v>
      </c>
      <c r="D42" s="47">
        <f t="shared" si="5"/>
        <v>5000</v>
      </c>
      <c r="E42" s="45" t="s">
        <v>109</v>
      </c>
      <c r="F42" s="48"/>
    </row>
    <row r="43" spans="1:6" ht="15" customHeight="1" x14ac:dyDescent="0.25">
      <c r="A43" s="44">
        <v>46242</v>
      </c>
      <c r="B43" s="45" t="s">
        <v>118</v>
      </c>
      <c r="C43" s="46">
        <v>3000</v>
      </c>
      <c r="D43" s="47">
        <f t="shared" si="5"/>
        <v>2000</v>
      </c>
      <c r="E43" s="45" t="s">
        <v>114</v>
      </c>
      <c r="F43" s="48"/>
    </row>
    <row r="44" spans="1:6" ht="15" customHeight="1" x14ac:dyDescent="0.25">
      <c r="A44" s="44"/>
      <c r="B44" s="45"/>
      <c r="C44" s="46"/>
      <c r="D44" s="47">
        <f t="shared" si="5"/>
        <v>2000</v>
      </c>
      <c r="E44" s="45"/>
      <c r="F44" s="48"/>
    </row>
    <row r="45" spans="1:6" ht="15" customHeight="1" x14ac:dyDescent="0.25">
      <c r="A45" s="44"/>
      <c r="B45" s="48"/>
      <c r="C45" s="46"/>
      <c r="D45" s="47">
        <f t="shared" si="5"/>
        <v>2000</v>
      </c>
      <c r="E45" s="48"/>
      <c r="F45" s="48"/>
    </row>
    <row r="46" spans="1:6" ht="15" customHeight="1" x14ac:dyDescent="0.25">
      <c r="A46" s="44"/>
      <c r="B46" s="48"/>
      <c r="C46" s="46"/>
      <c r="D46" s="47">
        <f t="shared" si="5"/>
        <v>2000</v>
      </c>
      <c r="E46" s="48"/>
      <c r="F46" s="48"/>
    </row>
    <row r="47" spans="1:6" x14ac:dyDescent="0.25">
      <c r="A47" s="44"/>
      <c r="B47" s="48"/>
      <c r="C47" s="46"/>
      <c r="D47" s="47">
        <f t="shared" si="5"/>
        <v>2000</v>
      </c>
      <c r="E47" s="48"/>
      <c r="F47" s="48"/>
    </row>
    <row r="48" spans="1:6" ht="15" customHeight="1" x14ac:dyDescent="0.25">
      <c r="A48" s="86" t="s">
        <v>111</v>
      </c>
      <c r="B48" s="82"/>
      <c r="C48">
        <f>SUM(C40:C47)</f>
        <v>18000</v>
      </c>
    </row>
    <row r="49" spans="1:6" ht="34.5" customHeight="1" x14ac:dyDescent="0.25"/>
    <row r="50" spans="1:6" ht="15" customHeight="1" x14ac:dyDescent="0.25">
      <c r="A50" s="80" t="str">
        <f>"▶ Levantamento 09-08-2026  —  "&amp;TEXT(B9,"#,##0")&amp;" Kz + ant. "&amp;TEXT(C9,"#,##0")&amp;" = "&amp;TEXT(B9+C9,"#,##0")&amp;" disponíveis"</f>
        <v>▶ Levantamento 09-08-2026  —  20000,0 Kz + ant. 2000,0 = 22000,0 disponíveis</v>
      </c>
      <c r="B50" s="81"/>
      <c r="C50" s="81"/>
      <c r="D50" s="81"/>
      <c r="E50" s="81"/>
      <c r="F50" s="82"/>
    </row>
    <row r="51" spans="1:6" ht="15" customHeight="1" x14ac:dyDescent="0.25">
      <c r="A51" s="44">
        <v>46243</v>
      </c>
      <c r="B51" s="48" t="s">
        <v>119</v>
      </c>
      <c r="C51" s="46">
        <v>2400</v>
      </c>
      <c r="D51" s="47">
        <f>B9+C9-IF(C51="",0,C51)</f>
        <v>19600</v>
      </c>
      <c r="E51" s="48" t="s">
        <v>109</v>
      </c>
      <c r="F51" s="48"/>
    </row>
    <row r="52" spans="1:6" ht="15" customHeight="1" x14ac:dyDescent="0.25">
      <c r="A52" s="44"/>
      <c r="B52" s="48"/>
      <c r="C52" s="52">
        <v>19600</v>
      </c>
      <c r="D52" s="47">
        <f t="shared" ref="D52:D58" si="6">D51-IF(C52="",0,C52)</f>
        <v>0</v>
      </c>
      <c r="E52" s="48"/>
      <c r="F52" s="48"/>
    </row>
    <row r="53" spans="1:6" ht="15" customHeight="1" x14ac:dyDescent="0.25">
      <c r="A53" s="44"/>
      <c r="B53" s="48"/>
      <c r="C53" s="46"/>
      <c r="D53" s="47">
        <f t="shared" si="6"/>
        <v>0</v>
      </c>
      <c r="E53" s="48"/>
      <c r="F53" s="48"/>
    </row>
    <row r="54" spans="1:6" ht="15" customHeight="1" x14ac:dyDescent="0.25">
      <c r="A54" s="44"/>
      <c r="B54" s="48"/>
      <c r="C54" s="46"/>
      <c r="D54" s="47">
        <f t="shared" si="6"/>
        <v>0</v>
      </c>
      <c r="E54" s="48"/>
      <c r="F54" s="48"/>
    </row>
    <row r="55" spans="1:6" ht="15" customHeight="1" x14ac:dyDescent="0.25">
      <c r="A55" s="44"/>
      <c r="B55" s="48"/>
      <c r="C55" s="46"/>
      <c r="D55" s="47">
        <f t="shared" si="6"/>
        <v>0</v>
      </c>
      <c r="E55" s="48"/>
      <c r="F55" s="48"/>
    </row>
    <row r="56" spans="1:6" ht="15" customHeight="1" x14ac:dyDescent="0.25">
      <c r="A56" s="44"/>
      <c r="B56" s="48"/>
      <c r="C56" s="46"/>
      <c r="D56" s="47">
        <f t="shared" si="6"/>
        <v>0</v>
      </c>
      <c r="E56" s="48"/>
      <c r="F56" s="48"/>
    </row>
    <row r="57" spans="1:6" ht="15" customHeight="1" x14ac:dyDescent="0.25">
      <c r="A57" s="44"/>
      <c r="B57" s="48"/>
      <c r="C57" s="46"/>
      <c r="D57" s="47">
        <f t="shared" si="6"/>
        <v>0</v>
      </c>
      <c r="E57" s="48"/>
      <c r="F57" s="48"/>
    </row>
    <row r="58" spans="1:6" x14ac:dyDescent="0.25">
      <c r="A58" s="44"/>
      <c r="B58" s="48"/>
      <c r="C58" s="46"/>
      <c r="D58" s="47">
        <f t="shared" si="6"/>
        <v>0</v>
      </c>
      <c r="E58" s="48"/>
      <c r="F58" s="48"/>
    </row>
    <row r="59" spans="1:6" ht="15" customHeight="1" x14ac:dyDescent="0.25">
      <c r="A59" s="86" t="s">
        <v>111</v>
      </c>
      <c r="B59" s="82"/>
      <c r="C59">
        <f>SUM(C51:C58)</f>
        <v>22000</v>
      </c>
    </row>
    <row r="60" spans="1:6" ht="34.5" customHeight="1" x14ac:dyDescent="0.25"/>
    <row r="61" spans="1:6" ht="15" customHeight="1" x14ac:dyDescent="0.25">
      <c r="A61" s="80" t="str">
        <f>"▶ Levantamento 11-08-2026  —  "&amp;TEXT(B10,"#,##0")&amp;" Kz + ant. "&amp;TEXT(C10,"#,##0")&amp;" = "&amp;TEXT(B10+C10,"#,##0")&amp;" disponíveis"</f>
        <v>▶ Levantamento 11-08-2026  —  50000,0 Kz + ant. ,0 = 50000,0 disponíveis</v>
      </c>
      <c r="B61" s="81"/>
      <c r="C61" s="81"/>
      <c r="D61" s="81"/>
      <c r="E61" s="81"/>
      <c r="F61" s="82"/>
    </row>
    <row r="62" spans="1:6" ht="15" customHeight="1" x14ac:dyDescent="0.25">
      <c r="A62" s="44">
        <v>46245</v>
      </c>
      <c r="B62" s="48" t="s">
        <v>120</v>
      </c>
      <c r="C62" s="46">
        <v>2000</v>
      </c>
      <c r="D62" s="47">
        <f>B10+C10-IF(C62="",0,C62)</f>
        <v>48000</v>
      </c>
      <c r="E62" s="48" t="s">
        <v>121</v>
      </c>
      <c r="F62" s="48"/>
    </row>
    <row r="63" spans="1:6" ht="15" customHeight="1" x14ac:dyDescent="0.25">
      <c r="A63" s="44">
        <v>46245</v>
      </c>
      <c r="B63" s="48" t="s">
        <v>122</v>
      </c>
      <c r="C63" s="46">
        <v>6000</v>
      </c>
      <c r="D63" s="47">
        <f t="shared" ref="D63:D69" si="7">D62-IF(C63="",0,C63)</f>
        <v>42000</v>
      </c>
      <c r="E63" s="48" t="s">
        <v>109</v>
      </c>
      <c r="F63" s="48"/>
    </row>
    <row r="64" spans="1:6" ht="15" customHeight="1" x14ac:dyDescent="0.25">
      <c r="A64" s="44"/>
      <c r="B64" s="48"/>
      <c r="C64" s="46"/>
      <c r="D64" s="47">
        <f t="shared" si="7"/>
        <v>42000</v>
      </c>
      <c r="E64" s="48"/>
      <c r="F64" s="48"/>
    </row>
    <row r="65" spans="1:6" ht="15" customHeight="1" x14ac:dyDescent="0.25">
      <c r="A65" s="44"/>
      <c r="B65" s="48"/>
      <c r="C65" s="46"/>
      <c r="D65" s="47">
        <f t="shared" si="7"/>
        <v>42000</v>
      </c>
      <c r="E65" s="48"/>
      <c r="F65" s="48"/>
    </row>
    <row r="66" spans="1:6" ht="15" customHeight="1" x14ac:dyDescent="0.25">
      <c r="A66" s="44"/>
      <c r="B66" s="48"/>
      <c r="C66" s="46"/>
      <c r="D66" s="47">
        <f t="shared" si="7"/>
        <v>42000</v>
      </c>
      <c r="E66" s="48"/>
      <c r="F66" s="48"/>
    </row>
    <row r="67" spans="1:6" ht="15" customHeight="1" x14ac:dyDescent="0.25">
      <c r="A67" s="44"/>
      <c r="B67" s="48"/>
      <c r="C67" s="46"/>
      <c r="D67" s="47">
        <f t="shared" si="7"/>
        <v>42000</v>
      </c>
      <c r="E67" s="48"/>
      <c r="F67" s="48"/>
    </row>
    <row r="68" spans="1:6" ht="15" customHeight="1" x14ac:dyDescent="0.25">
      <c r="A68" s="44"/>
      <c r="B68" s="48"/>
      <c r="C68" s="46"/>
      <c r="D68" s="47">
        <f t="shared" si="7"/>
        <v>42000</v>
      </c>
      <c r="E68" s="48"/>
      <c r="F68" s="48"/>
    </row>
    <row r="69" spans="1:6" x14ac:dyDescent="0.25">
      <c r="A69" s="44"/>
      <c r="B69" s="48"/>
      <c r="C69" s="46"/>
      <c r="D69" s="47">
        <f t="shared" si="7"/>
        <v>42000</v>
      </c>
      <c r="E69" s="48"/>
      <c r="F69" s="48"/>
    </row>
    <row r="70" spans="1:6" x14ac:dyDescent="0.25">
      <c r="A70" s="86" t="s">
        <v>111</v>
      </c>
      <c r="B70" s="82"/>
      <c r="C70" s="50">
        <f>SUM(C62:C69)</f>
        <v>8000</v>
      </c>
      <c r="D70" s="51"/>
      <c r="E70" s="51"/>
      <c r="F70" s="51"/>
    </row>
    <row r="71" spans="1:6" ht="15" customHeight="1" x14ac:dyDescent="0.25">
      <c r="A71" s="61"/>
      <c r="B71" s="61"/>
      <c r="C71" s="61"/>
      <c r="D71" s="61"/>
      <c r="E71" s="61"/>
      <c r="F71" s="61"/>
    </row>
    <row r="72" spans="1:6" ht="15" customHeight="1" x14ac:dyDescent="0.25">
      <c r="A72" s="79" t="str">
        <f>"▶ Levantamento 17-08-2026  —  "&amp;TEXT(B11,"#,##0")&amp;" Kz + ant. "&amp;TEXT(C11,"#,##0")&amp;" = "&amp;TEXT(B11+C11,"#,##0")&amp;" disponíveis"</f>
        <v>▶ Levantamento 17-08-2026  —  20000,0 Kz + ant. 42000,0 = 62000,0 disponíveis</v>
      </c>
      <c r="B72" s="70"/>
      <c r="C72" s="70"/>
      <c r="D72" s="70"/>
      <c r="E72" s="70"/>
      <c r="F72" s="70"/>
    </row>
    <row r="73" spans="1:6" ht="15" customHeight="1" x14ac:dyDescent="0.25">
      <c r="A73" s="64">
        <v>46251</v>
      </c>
      <c r="B73" s="58" t="s">
        <v>123</v>
      </c>
      <c r="C73" s="59">
        <v>18000</v>
      </c>
      <c r="D73" s="62">
        <f>B11+C11-IF(C73="",0,C73)</f>
        <v>44000</v>
      </c>
      <c r="E73" s="58" t="s">
        <v>109</v>
      </c>
      <c r="F73" s="58" t="s">
        <v>124</v>
      </c>
    </row>
    <row r="74" spans="1:6" ht="15" customHeight="1" x14ac:dyDescent="0.25">
      <c r="A74" s="64">
        <v>46251</v>
      </c>
      <c r="B74" s="58" t="s">
        <v>125</v>
      </c>
      <c r="C74" s="59">
        <v>2000</v>
      </c>
      <c r="D74" s="62">
        <f t="shared" ref="D74:D80" si="8">D73-IF(C74="",0,C74)</f>
        <v>42000</v>
      </c>
      <c r="E74" s="58" t="s">
        <v>116</v>
      </c>
      <c r="F74" s="58"/>
    </row>
    <row r="75" spans="1:6" ht="15" customHeight="1" x14ac:dyDescent="0.25">
      <c r="A75" s="64"/>
      <c r="B75" s="58"/>
      <c r="C75" s="59"/>
      <c r="D75" s="62">
        <f t="shared" si="8"/>
        <v>42000</v>
      </c>
      <c r="E75" s="58"/>
      <c r="F75" s="58"/>
    </row>
    <row r="76" spans="1:6" ht="15" customHeight="1" x14ac:dyDescent="0.25">
      <c r="A76" s="64"/>
      <c r="B76" s="58"/>
      <c r="C76" s="59"/>
      <c r="D76" s="62">
        <f t="shared" si="8"/>
        <v>42000</v>
      </c>
      <c r="E76" s="58"/>
      <c r="F76" s="58"/>
    </row>
    <row r="77" spans="1:6" x14ac:dyDescent="0.25">
      <c r="A77" s="64"/>
      <c r="B77" s="58"/>
      <c r="C77" s="59"/>
      <c r="D77" s="62">
        <f t="shared" si="8"/>
        <v>42000</v>
      </c>
      <c r="E77" s="58"/>
      <c r="F77" s="58"/>
    </row>
    <row r="78" spans="1:6" x14ac:dyDescent="0.25">
      <c r="A78" s="64"/>
      <c r="B78" s="58"/>
      <c r="C78" s="59"/>
      <c r="D78" s="62">
        <f t="shared" si="8"/>
        <v>42000</v>
      </c>
      <c r="E78" s="58"/>
      <c r="F78" s="58"/>
    </row>
    <row r="79" spans="1:6" x14ac:dyDescent="0.25">
      <c r="A79" s="64"/>
      <c r="B79" s="58"/>
      <c r="C79" s="59"/>
      <c r="D79" s="62">
        <f t="shared" si="8"/>
        <v>42000</v>
      </c>
      <c r="E79" s="58"/>
      <c r="F79" s="58"/>
    </row>
    <row r="80" spans="1:6" x14ac:dyDescent="0.25">
      <c r="A80" s="64"/>
      <c r="B80" s="58"/>
      <c r="C80" s="59"/>
      <c r="D80" s="62">
        <f t="shared" si="8"/>
        <v>42000</v>
      </c>
      <c r="E80" s="58"/>
      <c r="F80" s="58"/>
    </row>
    <row r="81" spans="1:6" x14ac:dyDescent="0.25">
      <c r="A81" s="84" t="s">
        <v>111</v>
      </c>
      <c r="B81" s="70"/>
      <c r="C81" s="63">
        <f>SUM(C73:C80)</f>
        <v>20000</v>
      </c>
      <c r="D81" s="61"/>
      <c r="E81" s="61"/>
      <c r="F81" s="61"/>
    </row>
    <row r="82" spans="1:6" x14ac:dyDescent="0.25">
      <c r="A82" s="61"/>
      <c r="B82" s="61"/>
      <c r="C82" s="61"/>
      <c r="D82" s="61"/>
      <c r="E82" s="61"/>
      <c r="F82" s="61"/>
    </row>
    <row r="83" spans="1:6" x14ac:dyDescent="0.25">
      <c r="A83" s="79" t="str">
        <f>"▶ Levantamento 17-08-2026  —  "&amp;TEXT(B12,"#,##0")&amp;" Kz + ant. "&amp;TEXT(C12,"#,##0")&amp;" = "&amp;TEXT(B12+C12,"#,##0")&amp;" disponíveis"</f>
        <v>▶ Levantamento 17-08-2026  —  10000,0 Kz + ant. 42000,0 = 52000,0 disponíveis</v>
      </c>
      <c r="B83" s="70"/>
      <c r="C83" s="70"/>
      <c r="D83" s="70"/>
      <c r="E83" s="70"/>
      <c r="F83" s="70"/>
    </row>
    <row r="84" spans="1:6" x14ac:dyDescent="0.25">
      <c r="A84" s="66">
        <v>46251</v>
      </c>
      <c r="B84" s="58" t="s">
        <v>126</v>
      </c>
      <c r="C84" s="59">
        <v>8750</v>
      </c>
      <c r="D84" s="62">
        <f>B12+C12-IF(C84="",0,C84)</f>
        <v>43250</v>
      </c>
      <c r="E84" s="58" t="s">
        <v>116</v>
      </c>
      <c r="F84" s="58" t="s">
        <v>127</v>
      </c>
    </row>
    <row r="85" spans="1:6" x14ac:dyDescent="0.25">
      <c r="A85" s="66">
        <v>46251</v>
      </c>
      <c r="B85" s="58" t="s">
        <v>128</v>
      </c>
      <c r="C85" s="59">
        <v>1250</v>
      </c>
      <c r="D85" s="62">
        <f t="shared" ref="D85:D91" si="9">D84-IF(C85="",0,C85)</f>
        <v>42000</v>
      </c>
      <c r="E85" s="67" t="s">
        <v>116</v>
      </c>
      <c r="F85" s="58"/>
    </row>
    <row r="86" spans="1:6" x14ac:dyDescent="0.25">
      <c r="A86" s="66">
        <v>46251</v>
      </c>
      <c r="B86" s="58" t="s">
        <v>177</v>
      </c>
      <c r="C86" s="59">
        <v>7000</v>
      </c>
      <c r="D86" s="62">
        <f t="shared" si="9"/>
        <v>35000</v>
      </c>
      <c r="E86" s="67" t="s">
        <v>178</v>
      </c>
      <c r="F86" s="58"/>
    </row>
    <row r="87" spans="1:6" x14ac:dyDescent="0.25">
      <c r="A87" s="66">
        <v>46251</v>
      </c>
      <c r="B87" s="58" t="s">
        <v>122</v>
      </c>
      <c r="C87" s="59">
        <v>6000</v>
      </c>
      <c r="D87" s="62">
        <f t="shared" si="9"/>
        <v>29000</v>
      </c>
      <c r="E87" s="67" t="s">
        <v>109</v>
      </c>
      <c r="F87" s="58"/>
    </row>
    <row r="88" spans="1:6" x14ac:dyDescent="0.25">
      <c r="A88" s="66">
        <v>46254</v>
      </c>
      <c r="B88" s="58" t="s">
        <v>179</v>
      </c>
      <c r="C88" s="59">
        <v>1800</v>
      </c>
      <c r="D88" s="62">
        <f t="shared" si="9"/>
        <v>27200</v>
      </c>
      <c r="E88" s="58" t="s">
        <v>109</v>
      </c>
      <c r="F88" s="58"/>
    </row>
    <row r="89" spans="1:6" x14ac:dyDescent="0.25">
      <c r="A89" s="66">
        <v>46254</v>
      </c>
      <c r="B89" s="58" t="s">
        <v>180</v>
      </c>
      <c r="C89" s="59">
        <v>2000</v>
      </c>
      <c r="D89" s="62">
        <f t="shared" si="9"/>
        <v>25200</v>
      </c>
      <c r="E89" s="58" t="s">
        <v>109</v>
      </c>
      <c r="F89" s="58"/>
    </row>
    <row r="90" spans="1:6" x14ac:dyDescent="0.25">
      <c r="A90" s="66">
        <v>46255</v>
      </c>
      <c r="B90" s="58" t="s">
        <v>181</v>
      </c>
      <c r="C90" s="59">
        <v>2000</v>
      </c>
      <c r="D90" s="62">
        <f t="shared" si="9"/>
        <v>23200</v>
      </c>
      <c r="E90" s="58" t="s">
        <v>116</v>
      </c>
      <c r="F90" s="58"/>
    </row>
    <row r="91" spans="1:6" x14ac:dyDescent="0.25">
      <c r="A91" s="66"/>
      <c r="B91" s="58"/>
      <c r="C91" s="59"/>
      <c r="D91" s="62">
        <f t="shared" si="9"/>
        <v>23200</v>
      </c>
      <c r="E91" s="58"/>
      <c r="F91" s="58"/>
    </row>
    <row r="92" spans="1:6" s="68" customFormat="1" x14ac:dyDescent="0.25">
      <c r="A92" s="66"/>
      <c r="B92" s="58"/>
      <c r="C92" s="59"/>
      <c r="D92" s="66"/>
      <c r="E92" s="58"/>
      <c r="F92" s="59"/>
    </row>
    <row r="93" spans="1:6" s="68" customFormat="1" x14ac:dyDescent="0.25">
      <c r="A93" s="66"/>
      <c r="B93" s="58"/>
      <c r="C93" s="59"/>
      <c r="D93" s="66"/>
      <c r="E93" s="58"/>
      <c r="F93" s="59"/>
    </row>
    <row r="94" spans="1:6" s="68" customFormat="1" x14ac:dyDescent="0.25">
      <c r="A94" s="66"/>
      <c r="B94" s="58"/>
      <c r="C94" s="59"/>
      <c r="D94" s="66"/>
      <c r="E94" s="58"/>
      <c r="F94" s="59"/>
    </row>
    <row r="95" spans="1:6" x14ac:dyDescent="0.25">
      <c r="A95" s="84" t="s">
        <v>111</v>
      </c>
      <c r="B95" s="70"/>
      <c r="C95" s="63">
        <f>SUM(C84:C91)</f>
        <v>28800</v>
      </c>
      <c r="D95" s="61"/>
      <c r="E95" s="61"/>
      <c r="F95" s="61"/>
    </row>
    <row r="96" spans="1:6" x14ac:dyDescent="0.25">
      <c r="A96" s="61"/>
      <c r="B96" s="61"/>
      <c r="C96" s="61"/>
      <c r="D96" s="61"/>
      <c r="E96" s="61"/>
      <c r="F96" s="61"/>
    </row>
    <row r="97" spans="1:6" x14ac:dyDescent="0.25">
      <c r="A97" s="79" t="s">
        <v>129</v>
      </c>
      <c r="B97" s="70"/>
      <c r="C97" s="70"/>
      <c r="D97" s="70"/>
      <c r="E97" s="70"/>
      <c r="F97" s="70"/>
    </row>
    <row r="98" spans="1:6" x14ac:dyDescent="0.25">
      <c r="A98" s="64"/>
      <c r="B98" s="58"/>
      <c r="C98" s="59"/>
      <c r="D98" s="62">
        <f>0-IF(C98="",0,C98)</f>
        <v>0</v>
      </c>
      <c r="E98" s="58"/>
      <c r="F98" s="58"/>
    </row>
    <row r="99" spans="1:6" x14ac:dyDescent="0.25">
      <c r="A99" s="64"/>
      <c r="B99" s="58"/>
      <c r="C99" s="59"/>
      <c r="D99" s="62">
        <f t="shared" ref="D99:D105" si="10">D98-IF(C99="",0,C99)</f>
        <v>0</v>
      </c>
      <c r="E99" s="58"/>
      <c r="F99" s="58"/>
    </row>
    <row r="100" spans="1:6" x14ac:dyDescent="0.25">
      <c r="A100" s="64"/>
      <c r="B100" s="58"/>
      <c r="C100" s="59"/>
      <c r="D100" s="62">
        <f t="shared" si="10"/>
        <v>0</v>
      </c>
      <c r="E100" s="58"/>
      <c r="F100" s="58"/>
    </row>
    <row r="101" spans="1:6" x14ac:dyDescent="0.25">
      <c r="A101" s="64"/>
      <c r="B101" s="58"/>
      <c r="C101" s="59"/>
      <c r="D101" s="62">
        <f t="shared" si="10"/>
        <v>0</v>
      </c>
      <c r="E101" s="58"/>
      <c r="F101" s="58"/>
    </row>
    <row r="102" spans="1:6" x14ac:dyDescent="0.25">
      <c r="A102" s="64"/>
      <c r="B102" s="58"/>
      <c r="C102" s="59"/>
      <c r="D102" s="62">
        <f t="shared" si="10"/>
        <v>0</v>
      </c>
      <c r="E102" s="58"/>
      <c r="F102" s="58"/>
    </row>
    <row r="103" spans="1:6" x14ac:dyDescent="0.25">
      <c r="A103" s="64"/>
      <c r="B103" s="58"/>
      <c r="C103" s="59"/>
      <c r="D103" s="62">
        <f t="shared" si="10"/>
        <v>0</v>
      </c>
      <c r="E103" s="58"/>
      <c r="F103" s="58"/>
    </row>
    <row r="104" spans="1:6" x14ac:dyDescent="0.25">
      <c r="A104" s="64"/>
      <c r="B104" s="58"/>
      <c r="C104" s="59"/>
      <c r="D104" s="62">
        <f t="shared" si="10"/>
        <v>0</v>
      </c>
      <c r="E104" s="58"/>
      <c r="F104" s="58"/>
    </row>
    <row r="105" spans="1:6" x14ac:dyDescent="0.25">
      <c r="A105" s="64"/>
      <c r="B105" s="58"/>
      <c r="C105" s="59"/>
      <c r="D105" s="62">
        <f t="shared" si="10"/>
        <v>0</v>
      </c>
      <c r="E105" s="58"/>
      <c r="F105" s="58"/>
    </row>
    <row r="106" spans="1:6" x14ac:dyDescent="0.25">
      <c r="A106" s="84" t="s">
        <v>111</v>
      </c>
      <c r="B106" s="70"/>
      <c r="C106" s="63">
        <f>SUM(C98:C105)</f>
        <v>0</v>
      </c>
      <c r="D106" s="61"/>
      <c r="E106" s="61"/>
      <c r="F106" s="61"/>
    </row>
    <row r="107" spans="1:6" x14ac:dyDescent="0.25">
      <c r="A107" s="61"/>
      <c r="B107" s="61"/>
      <c r="C107" s="61"/>
      <c r="D107" s="61"/>
      <c r="E107" s="61"/>
      <c r="F107" s="61"/>
    </row>
    <row r="108" spans="1:6" x14ac:dyDescent="0.25">
      <c r="A108" s="79" t="s">
        <v>130</v>
      </c>
      <c r="B108" s="70"/>
      <c r="C108" s="70"/>
      <c r="D108" s="70"/>
      <c r="E108" s="70"/>
      <c r="F108" s="70"/>
    </row>
    <row r="109" spans="1:6" x14ac:dyDescent="0.25">
      <c r="A109" s="64"/>
      <c r="B109" s="58"/>
      <c r="C109" s="59"/>
      <c r="D109" s="62">
        <f>0-IF(C109="",0,C109)</f>
        <v>0</v>
      </c>
      <c r="E109" s="58"/>
      <c r="F109" s="58"/>
    </row>
    <row r="110" spans="1:6" x14ac:dyDescent="0.25">
      <c r="A110" s="64"/>
      <c r="B110" s="58"/>
      <c r="C110" s="59"/>
      <c r="D110" s="62">
        <f t="shared" ref="D110:D116" si="11">D109-IF(C110="",0,C110)</f>
        <v>0</v>
      </c>
      <c r="E110" s="58"/>
      <c r="F110" s="58"/>
    </row>
    <row r="111" spans="1:6" x14ac:dyDescent="0.25">
      <c r="A111" s="64"/>
      <c r="B111" s="58"/>
      <c r="C111" s="59"/>
      <c r="D111" s="62">
        <f t="shared" si="11"/>
        <v>0</v>
      </c>
      <c r="E111" s="58"/>
      <c r="F111" s="58"/>
    </row>
    <row r="112" spans="1:6" x14ac:dyDescent="0.25">
      <c r="A112" s="64"/>
      <c r="B112" s="58"/>
      <c r="C112" s="59"/>
      <c r="D112" s="62">
        <f t="shared" si="11"/>
        <v>0</v>
      </c>
      <c r="E112" s="58"/>
      <c r="F112" s="58"/>
    </row>
    <row r="113" spans="1:6" x14ac:dyDescent="0.25">
      <c r="A113" s="64"/>
      <c r="B113" s="58"/>
      <c r="C113" s="59"/>
      <c r="D113" s="62">
        <f t="shared" si="11"/>
        <v>0</v>
      </c>
      <c r="E113" s="58"/>
      <c r="F113" s="58"/>
    </row>
    <row r="114" spans="1:6" x14ac:dyDescent="0.25">
      <c r="A114" s="64"/>
      <c r="B114" s="58"/>
      <c r="C114" s="59"/>
      <c r="D114" s="62">
        <f t="shared" si="11"/>
        <v>0</v>
      </c>
      <c r="E114" s="58"/>
      <c r="F114" s="58"/>
    </row>
    <row r="115" spans="1:6" x14ac:dyDescent="0.25">
      <c r="A115" s="64"/>
      <c r="B115" s="58"/>
      <c r="C115" s="59"/>
      <c r="D115" s="62">
        <f t="shared" si="11"/>
        <v>0</v>
      </c>
      <c r="E115" s="58"/>
      <c r="F115" s="58"/>
    </row>
    <row r="116" spans="1:6" x14ac:dyDescent="0.25">
      <c r="A116" s="64"/>
      <c r="B116" s="58"/>
      <c r="C116" s="59"/>
      <c r="D116" s="62">
        <f t="shared" si="11"/>
        <v>0</v>
      </c>
      <c r="E116" s="58"/>
      <c r="F116" s="58"/>
    </row>
    <row r="117" spans="1:6" x14ac:dyDescent="0.25">
      <c r="A117" s="84" t="s">
        <v>111</v>
      </c>
      <c r="B117" s="70"/>
      <c r="C117" s="63">
        <f>SUM(C109:C116)</f>
        <v>0</v>
      </c>
      <c r="D117" s="61"/>
      <c r="E117" s="61"/>
      <c r="F117" s="61"/>
    </row>
    <row r="118" spans="1:6" x14ac:dyDescent="0.25">
      <c r="A118" s="61"/>
      <c r="B118" s="61"/>
      <c r="C118" s="61"/>
      <c r="D118" s="61"/>
      <c r="E118" s="61"/>
      <c r="F118" s="61"/>
    </row>
    <row r="119" spans="1:6" ht="15.75" x14ac:dyDescent="0.25">
      <c r="A119" s="87" t="s">
        <v>131</v>
      </c>
      <c r="B119" s="70"/>
      <c r="C119" s="70"/>
      <c r="D119" s="70"/>
      <c r="E119" s="70"/>
      <c r="F119" s="70"/>
    </row>
    <row r="120" spans="1:6" x14ac:dyDescent="0.25">
      <c r="A120" s="83" t="s">
        <v>132</v>
      </c>
      <c r="B120" s="70"/>
      <c r="C120" s="70"/>
      <c r="D120" s="70"/>
      <c r="E120" s="70"/>
      <c r="F120" s="70"/>
    </row>
    <row r="121" spans="1:6" x14ac:dyDescent="0.25">
      <c r="A121" s="83" t="s">
        <v>133</v>
      </c>
      <c r="B121" s="70"/>
      <c r="C121" s="70"/>
      <c r="D121" s="70"/>
      <c r="E121" s="70"/>
      <c r="F121" s="70"/>
    </row>
    <row r="122" spans="1:6" x14ac:dyDescent="0.25">
      <c r="A122" s="83" t="s">
        <v>134</v>
      </c>
      <c r="B122" s="70"/>
      <c r="C122" s="70"/>
      <c r="D122" s="70"/>
      <c r="E122" s="70"/>
      <c r="F122" s="70"/>
    </row>
    <row r="123" spans="1:6" x14ac:dyDescent="0.25">
      <c r="A123" s="83" t="s">
        <v>135</v>
      </c>
      <c r="B123" s="70"/>
      <c r="C123" s="70"/>
      <c r="D123" s="70"/>
      <c r="E123" s="70"/>
      <c r="F123" s="70"/>
    </row>
    <row r="124" spans="1:6" x14ac:dyDescent="0.25">
      <c r="A124" s="83" t="s">
        <v>136</v>
      </c>
      <c r="B124" s="70"/>
      <c r="C124" s="70"/>
      <c r="D124" s="70"/>
      <c r="E124" s="70"/>
      <c r="F124" s="70"/>
    </row>
    <row r="125" spans="1:6" x14ac:dyDescent="0.25">
      <c r="A125" s="83" t="s">
        <v>137</v>
      </c>
      <c r="B125" s="70"/>
      <c r="C125" s="70"/>
      <c r="D125" s="70"/>
      <c r="E125" s="70"/>
      <c r="F125" s="70"/>
    </row>
    <row r="126" spans="1:6" x14ac:dyDescent="0.25">
      <c r="A126" s="61"/>
      <c r="B126" s="61"/>
      <c r="C126" s="61"/>
      <c r="D126" s="61"/>
      <c r="E126" s="61"/>
      <c r="F126" s="61"/>
    </row>
    <row r="127" spans="1:6" x14ac:dyDescent="0.25">
      <c r="A127" s="61"/>
      <c r="B127" s="61"/>
      <c r="C127" s="61"/>
      <c r="D127" s="61"/>
      <c r="E127" s="61"/>
      <c r="F127" s="61"/>
    </row>
    <row r="128" spans="1:6" x14ac:dyDescent="0.25">
      <c r="A128" s="61"/>
      <c r="B128" s="61"/>
      <c r="C128" s="61"/>
      <c r="D128" s="61"/>
      <c r="E128" s="61"/>
      <c r="F128" s="61"/>
    </row>
    <row r="129" spans="1:6" x14ac:dyDescent="0.25">
      <c r="A129" s="61"/>
      <c r="B129" s="61"/>
      <c r="C129" s="61"/>
      <c r="D129" s="61"/>
      <c r="E129" s="61"/>
      <c r="F129" s="61"/>
    </row>
    <row r="130" spans="1:6" x14ac:dyDescent="0.25">
      <c r="A130" s="61"/>
      <c r="B130" s="61"/>
      <c r="C130" s="61"/>
      <c r="D130" s="61"/>
      <c r="E130" s="61"/>
      <c r="F130" s="61"/>
    </row>
    <row r="131" spans="1:6" x14ac:dyDescent="0.25">
      <c r="A131" s="61"/>
      <c r="B131" s="61"/>
      <c r="C131" s="61"/>
      <c r="D131" s="61"/>
      <c r="E131" s="61"/>
      <c r="F131" s="61"/>
    </row>
    <row r="132" spans="1:6" x14ac:dyDescent="0.25">
      <c r="A132" s="61"/>
      <c r="B132" s="61"/>
      <c r="C132" s="61"/>
      <c r="D132" s="61"/>
      <c r="E132" s="61"/>
      <c r="F132" s="61"/>
    </row>
  </sheetData>
  <mergeCells count="28">
    <mergeCell ref="A125:F125"/>
    <mergeCell ref="A72:F72"/>
    <mergeCell ref="A26:B26"/>
    <mergeCell ref="A124:F124"/>
    <mergeCell ref="A28:F28"/>
    <mergeCell ref="A120:F120"/>
    <mergeCell ref="A83:F83"/>
    <mergeCell ref="A39:F39"/>
    <mergeCell ref="A81:B81"/>
    <mergeCell ref="A123:F123"/>
    <mergeCell ref="A108:F108"/>
    <mergeCell ref="A50:F50"/>
    <mergeCell ref="A70:B70"/>
    <mergeCell ref="A119:F119"/>
    <mergeCell ref="A37:B37"/>
    <mergeCell ref="A48:B48"/>
    <mergeCell ref="A1:F1"/>
    <mergeCell ref="A97:F97"/>
    <mergeCell ref="A61:F61"/>
    <mergeCell ref="A122:F122"/>
    <mergeCell ref="A117:B117"/>
    <mergeCell ref="A2:F2"/>
    <mergeCell ref="A17:F17"/>
    <mergeCell ref="A15:F15"/>
    <mergeCell ref="A95:B95"/>
    <mergeCell ref="A59:B59"/>
    <mergeCell ref="A121:F121"/>
    <mergeCell ref="A106:B106"/>
  </mergeCells>
  <printOptions horizontalCentered="1"/>
  <pageMargins left="0.5" right="0.5" top="0.7" bottom="0.7" header="0.3" footer="0.3"/>
  <pageSetup paperSize="9" fitToHeight="0" orientation="portrait" horizontalDpi="300" verticalDpi="300"/>
  <headerFooter>
    <oddHeader>&amp;C&amp;"Arial,Bold"&amp;10 Fundo de Maneio</oddHeader>
    <oddFooter>&amp;LÉcole Consulaire du Congo – Luanda&amp;CPágina &amp;P de &amp;N&amp;R&amp;D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0"/>
  <sheetViews>
    <sheetView zoomScaleNormal="100" workbookViewId="0">
      <selection activeCell="E5" sqref="E5"/>
    </sheetView>
  </sheetViews>
  <sheetFormatPr defaultColWidth="8.7109375" defaultRowHeight="15" x14ac:dyDescent="0.25"/>
  <cols>
    <col min="1" max="1" width="18" customWidth="1"/>
    <col min="2" max="2" width="20" customWidth="1"/>
    <col min="3" max="4" width="18" customWidth="1"/>
    <col min="5" max="5" width="16" customWidth="1"/>
  </cols>
  <sheetData>
    <row r="1" spans="1:5" ht="21" customHeight="1" x14ac:dyDescent="0.3">
      <c r="A1" s="88" t="s">
        <v>138</v>
      </c>
      <c r="B1" s="70"/>
      <c r="C1" s="70"/>
      <c r="D1" s="70"/>
      <c r="E1" s="70"/>
    </row>
    <row r="3" spans="1:5" ht="30.75" customHeight="1" x14ac:dyDescent="0.25">
      <c r="A3" s="3" t="s">
        <v>139</v>
      </c>
      <c r="B3" s="3" t="s">
        <v>140</v>
      </c>
      <c r="C3" s="3" t="s">
        <v>141</v>
      </c>
      <c r="D3" s="3" t="s">
        <v>142</v>
      </c>
      <c r="E3" s="3" t="s">
        <v>143</v>
      </c>
    </row>
    <row r="4" spans="1:5" ht="15" customHeight="1" x14ac:dyDescent="0.25">
      <c r="A4" s="53" t="s">
        <v>144</v>
      </c>
      <c r="B4" s="7">
        <f>SUMIF(Movimentos!A7:A70,"*-07-2026",Movimentos!D7:D70)</f>
        <v>1134000</v>
      </c>
      <c r="C4" s="7">
        <f>SUMIF(Movimentos!A7:A70,"*-07-2026",Movimentos!E7:E70)</f>
        <v>29341.26</v>
      </c>
      <c r="D4" s="7">
        <f>B4-C4</f>
        <v>1104658.74</v>
      </c>
      <c r="E4" s="54">
        <f>COUNTIF(Movimentos!A7:A70,"*-07-2026")</f>
        <v>16</v>
      </c>
    </row>
    <row r="5" spans="1:5" ht="15" customHeight="1" x14ac:dyDescent="0.25">
      <c r="A5" s="53" t="s">
        <v>145</v>
      </c>
      <c r="B5" s="7">
        <f>SUMIF(Movimentos!A7:A70,"*-08-2026",Movimentos!D7:D70)</f>
        <v>1452000</v>
      </c>
      <c r="C5" s="7">
        <f>SUMIF(Movimentos!A7:A70,"*-08-2026",Movimentos!E7:E70)</f>
        <v>536196.42999999993</v>
      </c>
      <c r="D5" s="7">
        <f>B5-C5</f>
        <v>915803.57000000007</v>
      </c>
      <c r="E5" s="54">
        <f>COUNTIF(Movimentos!A7:A70,"*-08-2026")</f>
        <v>22</v>
      </c>
    </row>
    <row r="6" spans="1:5" ht="15" customHeight="1" x14ac:dyDescent="0.25">
      <c r="A6" s="53" t="s">
        <v>146</v>
      </c>
      <c r="B6" s="7"/>
      <c r="C6" s="7"/>
      <c r="D6" s="7"/>
      <c r="E6" s="54"/>
    </row>
    <row r="7" spans="1:5" ht="15" customHeight="1" x14ac:dyDescent="0.25">
      <c r="A7" s="53" t="s">
        <v>147</v>
      </c>
      <c r="B7" s="7"/>
      <c r="C7" s="7"/>
      <c r="D7" s="7"/>
      <c r="E7" s="54"/>
    </row>
    <row r="8" spans="1:5" ht="15" customHeight="1" x14ac:dyDescent="0.25">
      <c r="A8" s="53" t="s">
        <v>148</v>
      </c>
      <c r="B8" s="7"/>
      <c r="C8" s="7"/>
      <c r="D8" s="7"/>
      <c r="E8" s="54"/>
    </row>
    <row r="9" spans="1:5" ht="15" customHeight="1" x14ac:dyDescent="0.25">
      <c r="A9" s="53" t="s">
        <v>149</v>
      </c>
      <c r="B9" s="7"/>
      <c r="C9" s="7"/>
      <c r="D9" s="7"/>
      <c r="E9" s="54"/>
    </row>
    <row r="10" spans="1:5" ht="15" customHeight="1" x14ac:dyDescent="0.25">
      <c r="A10" s="53" t="s">
        <v>150</v>
      </c>
      <c r="B10" s="7"/>
      <c r="C10" s="7"/>
      <c r="D10" s="7"/>
      <c r="E10" s="54"/>
    </row>
    <row r="11" spans="1:5" ht="15" customHeight="1" x14ac:dyDescent="0.25">
      <c r="A11" s="53" t="s">
        <v>151</v>
      </c>
      <c r="B11" s="7"/>
      <c r="C11" s="7"/>
      <c r="D11" s="7"/>
      <c r="E11" s="54"/>
    </row>
    <row r="12" spans="1:5" ht="15" customHeight="1" x14ac:dyDescent="0.25">
      <c r="A12" s="53" t="s">
        <v>152</v>
      </c>
      <c r="B12" s="7"/>
      <c r="C12" s="7"/>
      <c r="D12" s="7"/>
      <c r="E12" s="54"/>
    </row>
    <row r="13" spans="1:5" ht="15" customHeight="1" x14ac:dyDescent="0.25">
      <c r="A13" s="53" t="s">
        <v>153</v>
      </c>
      <c r="B13" s="7"/>
      <c r="C13" s="7"/>
      <c r="D13" s="7"/>
      <c r="E13" s="54"/>
    </row>
    <row r="14" spans="1:5" ht="15" customHeight="1" x14ac:dyDescent="0.25">
      <c r="A14" s="53" t="s">
        <v>154</v>
      </c>
      <c r="B14" s="7"/>
      <c r="C14" s="7"/>
      <c r="D14" s="7"/>
      <c r="E14" s="54"/>
    </row>
    <row r="15" spans="1:5" ht="15" customHeight="1" x14ac:dyDescent="0.25">
      <c r="A15" s="53" t="s">
        <v>155</v>
      </c>
      <c r="B15" s="7"/>
      <c r="C15" s="7"/>
      <c r="D15" s="7"/>
      <c r="E15" s="54"/>
    </row>
    <row r="17" spans="1:5" ht="15" customHeight="1" x14ac:dyDescent="0.25">
      <c r="A17" s="56" t="s">
        <v>156</v>
      </c>
    </row>
    <row r="18" spans="1:5" ht="15" customHeight="1" x14ac:dyDescent="0.25">
      <c r="A18" s="77" t="s">
        <v>157</v>
      </c>
      <c r="B18" s="70"/>
      <c r="C18" s="70"/>
      <c r="D18" s="70"/>
      <c r="E18" s="70"/>
    </row>
    <row r="19" spans="1:5" ht="15" customHeight="1" x14ac:dyDescent="0.25">
      <c r="A19" s="70"/>
      <c r="B19" s="70"/>
      <c r="C19" s="70"/>
      <c r="D19" s="70"/>
      <c r="E19" s="70"/>
    </row>
    <row r="20" spans="1:5" ht="45.75" customHeight="1" x14ac:dyDescent="0.25">
      <c r="A20" s="70"/>
      <c r="B20" s="70"/>
      <c r="C20" s="70"/>
      <c r="D20" s="70"/>
      <c r="E20" s="70"/>
    </row>
  </sheetData>
  <mergeCells count="2">
    <mergeCell ref="A1:E1"/>
    <mergeCell ref="A18:E20"/>
  </mergeCells>
  <printOptions horizontalCentered="1"/>
  <pageMargins left="0.5" right="0.5" top="0.7" bottom="0.7" header="0.3" footer="0.3"/>
  <pageSetup paperSize="9" orientation="portrait" horizontalDpi="300" verticalDpi="300"/>
  <headerFooter>
    <oddHeader>&amp;C&amp;"Arial,Bold"&amp;10 Resumo Mensal</oddHeader>
    <oddFooter>&amp;LÉcole Consulaire du Congo – Luanda&amp;CPágina &amp;P de &amp;N&amp;R&amp;D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21"/>
  <sheetViews>
    <sheetView zoomScaleNormal="100" workbookViewId="0">
      <selection sqref="A1:B1"/>
    </sheetView>
  </sheetViews>
  <sheetFormatPr defaultColWidth="8.7109375" defaultRowHeight="15" x14ac:dyDescent="0.25"/>
  <cols>
    <col min="1" max="1" width="25" customWidth="1"/>
    <col min="2" max="2" width="80" customWidth="1"/>
  </cols>
  <sheetData>
    <row r="1" spans="1:2" ht="21" customHeight="1" x14ac:dyDescent="0.3">
      <c r="A1" s="88" t="s">
        <v>158</v>
      </c>
      <c r="B1" s="70"/>
    </row>
    <row r="3" spans="1:2" ht="15" customHeight="1" x14ac:dyDescent="0.25">
      <c r="A3" s="56" t="s">
        <v>159</v>
      </c>
    </row>
    <row r="4" spans="1:2" ht="15" customHeight="1" x14ac:dyDescent="0.25">
      <c r="A4" s="90" t="s">
        <v>160</v>
      </c>
      <c r="B4" s="70"/>
    </row>
    <row r="5" spans="1:2" ht="15" customHeight="1" x14ac:dyDescent="0.25">
      <c r="A5" s="56" t="s">
        <v>161</v>
      </c>
    </row>
    <row r="6" spans="1:2" ht="23.25" customHeight="1" x14ac:dyDescent="0.25">
      <c r="A6" s="90" t="s">
        <v>162</v>
      </c>
      <c r="B6" s="70"/>
    </row>
    <row r="7" spans="1:2" ht="15" customHeight="1" x14ac:dyDescent="0.25">
      <c r="A7" s="56" t="s">
        <v>163</v>
      </c>
    </row>
    <row r="8" spans="1:2" ht="23.25" customHeight="1" x14ac:dyDescent="0.25">
      <c r="A8" s="90" t="s">
        <v>164</v>
      </c>
      <c r="B8" s="70"/>
    </row>
    <row r="9" spans="1:2" ht="15" customHeight="1" x14ac:dyDescent="0.25">
      <c r="A9" s="56" t="s">
        <v>165</v>
      </c>
    </row>
    <row r="10" spans="1:2" ht="15" customHeight="1" x14ac:dyDescent="0.25">
      <c r="A10" s="90" t="s">
        <v>166</v>
      </c>
      <c r="B10" s="70"/>
    </row>
    <row r="11" spans="1:2" ht="15" customHeight="1" x14ac:dyDescent="0.25">
      <c r="A11" s="56" t="s">
        <v>167</v>
      </c>
    </row>
    <row r="12" spans="1:2" ht="15" customHeight="1" x14ac:dyDescent="0.25">
      <c r="A12" s="90" t="s">
        <v>168</v>
      </c>
      <c r="B12" s="70"/>
    </row>
    <row r="13" spans="1:2" ht="15" customHeight="1" x14ac:dyDescent="0.25">
      <c r="A13" s="56" t="s">
        <v>169</v>
      </c>
    </row>
    <row r="14" spans="1:2" ht="23.25" customHeight="1" x14ac:dyDescent="0.25">
      <c r="A14" s="90" t="s">
        <v>170</v>
      </c>
      <c r="B14" s="70"/>
    </row>
    <row r="15" spans="1:2" ht="15" customHeight="1" x14ac:dyDescent="0.25">
      <c r="A15" s="56" t="s">
        <v>171</v>
      </c>
    </row>
    <row r="16" spans="1:2" ht="23.25" customHeight="1" x14ac:dyDescent="0.25">
      <c r="A16" s="90" t="s">
        <v>172</v>
      </c>
      <c r="B16" s="70"/>
    </row>
    <row r="17" spans="1:2" ht="15" customHeight="1" x14ac:dyDescent="0.25">
      <c r="A17" s="56" t="s">
        <v>173</v>
      </c>
    </row>
    <row r="18" spans="1:2" ht="15" customHeight="1" x14ac:dyDescent="0.25">
      <c r="A18" s="90" t="s">
        <v>174</v>
      </c>
      <c r="B18" s="70"/>
    </row>
    <row r="20" spans="1:2" ht="15" customHeight="1" x14ac:dyDescent="0.25">
      <c r="A20" s="22" t="s">
        <v>175</v>
      </c>
    </row>
    <row r="21" spans="1:2" ht="15" customHeight="1" x14ac:dyDescent="0.25">
      <c r="A21" s="89" t="s">
        <v>176</v>
      </c>
      <c r="B21" s="70"/>
    </row>
  </sheetData>
  <mergeCells count="10">
    <mergeCell ref="A21:B21"/>
    <mergeCell ref="A16:B16"/>
    <mergeCell ref="A10:B10"/>
    <mergeCell ref="A14:B14"/>
    <mergeCell ref="A1:B1"/>
    <mergeCell ref="A18:B18"/>
    <mergeCell ref="A8:B8"/>
    <mergeCell ref="A6:B6"/>
    <mergeCell ref="A12:B12"/>
    <mergeCell ref="A4:B4"/>
  </mergeCells>
  <printOptions horizontalCentered="1"/>
  <pageMargins left="0.5" right="0.5" top="0.7" bottom="0.7" header="0.3" footer="0.3"/>
  <pageSetup paperSize="9" orientation="portrait" horizontalDpi="300" verticalDpi="300"/>
  <headerFooter>
    <oddHeader>&amp;C&amp;"Arial,Bold"&amp;10 Instruções</oddHeader>
    <oddFooter>&amp;LÉcole Consulaire du Congo – Luanda&amp;CPágina &amp;P de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9</vt:i4>
      </vt:variant>
    </vt:vector>
  </HeadingPairs>
  <TitlesOfParts>
    <vt:vector size="14" baseType="lpstr">
      <vt:lpstr>Movimentos</vt:lpstr>
      <vt:lpstr>Arquivo Faturas Cartão</vt:lpstr>
      <vt:lpstr>Fundo de Maneio</vt:lpstr>
      <vt:lpstr>Resumo Mensal</vt:lpstr>
      <vt:lpstr>Instruções</vt:lpstr>
      <vt:lpstr>'Arquivo Faturas Cartão'!Área_de_Impressão</vt:lpstr>
      <vt:lpstr>'Fundo de Maneio'!Área_de_Impressão</vt:lpstr>
      <vt:lpstr>Instruções!Área_de_Impressão</vt:lpstr>
      <vt:lpstr>Movimentos!Área_de_Impressão</vt:lpstr>
      <vt:lpstr>'Resumo Mensal'!Área_de_Impressão</vt:lpstr>
      <vt:lpstr>'Arquivo Faturas Cartão'!Títulos_de_Impressão</vt:lpstr>
      <vt:lpstr>'Fundo de Maneio'!Títulos_de_Impressão</vt:lpstr>
      <vt:lpstr>Movimentos!Títulos_de_Impressão</vt:lpstr>
      <vt:lpstr>'Resumo Mensal'!Títulos_de_Impressão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Tânia Martins</cp:lastModifiedBy>
  <cp:revision>0</cp:revision>
  <cp:lastPrinted>2026-08-14T10:33:07Z</cp:lastPrinted>
  <dcterms:created xsi:type="dcterms:W3CDTF">2026-08-09T07:47:28Z</dcterms:created>
  <dcterms:modified xsi:type="dcterms:W3CDTF">2026-08-21T20:18:26Z</dcterms:modified>
  <dc:language>en-US</dc:language>
</cp:coreProperties>
</file>