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f44080f3793ef29/Desktop/CONTABILIDADE/"/>
    </mc:Choice>
  </mc:AlternateContent>
  <xr:revisionPtr revIDLastSave="7" documentId="13_ncr:1_{178BBC6F-43B1-429E-B592-D32C37844485}" xr6:coauthVersionLast="47" xr6:coauthVersionMax="47" xr10:uidLastSave="{91E9AA27-38BF-4F64-AAAC-4A0E154F4815}"/>
  <bookViews>
    <workbookView xWindow="-120" yWindow="-120" windowWidth="24240" windowHeight="13140" tabRatio="500" activeTab="2" xr2:uid="{00000000-000D-0000-FFFF-FFFF00000000}"/>
  </bookViews>
  <sheets>
    <sheet name="Registo Inscrições" sheetId="1" r:id="rId1"/>
    <sheet name="Recibo de Inscrição" sheetId="2" r:id="rId2"/>
    <sheet name="Recibos Fundo Maneio" sheetId="3" r:id="rId3"/>
    <sheet name="Modelo Recibo Maneio" sheetId="4" r:id="rId4"/>
    <sheet name="RM-001" sheetId="5" r:id="rId5"/>
    <sheet name="RM-002" sheetId="6" r:id="rId6"/>
    <sheet name="RM-003" sheetId="7" r:id="rId7"/>
    <sheet name="RM-004" sheetId="8" r:id="rId8"/>
    <sheet name="RM-005" sheetId="9" r:id="rId9"/>
    <sheet name="RM-006" sheetId="10" r:id="rId10"/>
    <sheet name="RM-007" sheetId="11" r:id="rId11"/>
    <sheet name="RM-008" sheetId="12" r:id="rId12"/>
    <sheet name="RM-009" sheetId="13" r:id="rId13"/>
    <sheet name="RM-010" sheetId="14" r:id="rId14"/>
  </sheets>
  <definedNames>
    <definedName name="_xlnm._FilterDatabase" localSheetId="2" hidden="1">'Recibos Fundo Maneio'!$A$3:$I$53</definedName>
    <definedName name="_xlnm._FilterDatabase" localSheetId="0" hidden="1">'Registo Inscrições'!$A$1:$T$15</definedName>
    <definedName name="_xlnm.Print_Area" localSheetId="3">'Modelo Recibo Maneio'!$A$1:$F$60</definedName>
    <definedName name="_xlnm.Print_Area" localSheetId="1">'Recibo de Inscrição'!$A$1:$F$58</definedName>
    <definedName name="_xlnm.Print_Area" localSheetId="4">'RM-001'!$A$1:$F$32</definedName>
    <definedName name="_xlnm.Print_Area" localSheetId="5">'RM-002'!$A$1:$F$32</definedName>
    <definedName name="_xlnm.Print_Area" localSheetId="6">'RM-003'!$A$1:$F$32</definedName>
    <definedName name="_xlnm.Print_Area" localSheetId="7">'RM-004'!$A$1:$F$32</definedName>
    <definedName name="_xlnm.Print_Area" localSheetId="8">'RM-005'!$A$1:$F$32</definedName>
    <definedName name="_xlnm.Print_Area" localSheetId="9">'RM-006'!$A$1:$F$32</definedName>
    <definedName name="_xlnm.Print_Area" localSheetId="10">'RM-007'!$A$1:$F$32</definedName>
    <definedName name="_xlnm.Print_Area" localSheetId="11">'RM-008'!$A$1:$F$32</definedName>
    <definedName name="_xlnm.Print_Area" localSheetId="12">'RM-009'!$A$1:$F$32</definedName>
    <definedName name="_xlnm.Print_Area" localSheetId="13">'RM-010'!$A$1:$F$32</definedName>
    <definedName name="_xlnm.Print_Titles" localSheetId="2">'Recibos Fundo Maneio'!$1:$3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3" i="4" l="1"/>
  <c r="E50" i="4"/>
  <c r="D50" i="4"/>
  <c r="D51" i="4" s="1"/>
  <c r="A50" i="4"/>
  <c r="B47" i="4"/>
  <c r="E46" i="4"/>
  <c r="B46" i="4"/>
  <c r="E44" i="4"/>
  <c r="E30" i="4"/>
  <c r="D30" i="4"/>
  <c r="A33" i="4" s="1"/>
  <c r="A30" i="4"/>
  <c r="B27" i="4"/>
  <c r="E26" i="4"/>
  <c r="B26" i="4"/>
  <c r="E24" i="4"/>
  <c r="A13" i="4"/>
  <c r="E10" i="4"/>
  <c r="D10" i="4"/>
  <c r="D11" i="4" s="1"/>
  <c r="A10" i="4"/>
  <c r="B7" i="4"/>
  <c r="E6" i="4"/>
  <c r="B6" i="4"/>
  <c r="E4" i="4"/>
  <c r="D54" i="3"/>
  <c r="I53" i="3"/>
  <c r="A53" i="3"/>
  <c r="I52" i="3"/>
  <c r="A52" i="3"/>
  <c r="I51" i="3"/>
  <c r="A51" i="3"/>
  <c r="I50" i="3"/>
  <c r="A50" i="3"/>
  <c r="I49" i="3"/>
  <c r="A49" i="3"/>
  <c r="I48" i="3"/>
  <c r="A48" i="3"/>
  <c r="I47" i="3"/>
  <c r="A47" i="3"/>
  <c r="I46" i="3"/>
  <c r="A46" i="3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A32" i="3"/>
  <c r="I31" i="3"/>
  <c r="A31" i="3"/>
  <c r="I30" i="3"/>
  <c r="A30" i="3"/>
  <c r="I29" i="3"/>
  <c r="A29" i="3"/>
  <c r="I28" i="3"/>
  <c r="A28" i="3"/>
  <c r="I27" i="3"/>
  <c r="A27" i="3"/>
  <c r="I26" i="3"/>
  <c r="A26" i="3"/>
  <c r="I25" i="3"/>
  <c r="A25" i="3"/>
  <c r="I24" i="3"/>
  <c r="A24" i="3"/>
  <c r="I23" i="3"/>
  <c r="A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C51" i="2"/>
  <c r="C50" i="2"/>
  <c r="E48" i="2"/>
  <c r="D47" i="2"/>
  <c r="C47" i="2"/>
  <c r="E47" i="2" s="1"/>
  <c r="D46" i="2"/>
  <c r="C46" i="2"/>
  <c r="D45" i="2"/>
  <c r="C45" i="2"/>
  <c r="E45" i="2" s="1"/>
  <c r="C42" i="2"/>
  <c r="C41" i="2"/>
  <c r="C40" i="2"/>
  <c r="C39" i="2"/>
  <c r="C38" i="2"/>
  <c r="E36" i="2"/>
  <c r="C36" i="2"/>
  <c r="C21" i="2"/>
  <c r="C20" i="2"/>
  <c r="E18" i="2"/>
  <c r="D17" i="2"/>
  <c r="C17" i="2"/>
  <c r="E17" i="2" s="1"/>
  <c r="D16" i="2"/>
  <c r="C16" i="2"/>
  <c r="D15" i="2"/>
  <c r="C15" i="2"/>
  <c r="E15" i="2" s="1"/>
  <c r="C12" i="2"/>
  <c r="C11" i="2"/>
  <c r="C10" i="2"/>
  <c r="C9" i="2"/>
  <c r="C8" i="2"/>
  <c r="E6" i="2"/>
  <c r="C6" i="2"/>
  <c r="E46" i="2" l="1"/>
  <c r="E16" i="2"/>
  <c r="E19" i="2" s="1"/>
  <c r="E49" i="2"/>
  <c r="D31" i="4"/>
</calcChain>
</file>

<file path=xl/sharedStrings.xml><?xml version="1.0" encoding="utf-8"?>
<sst xmlns="http://schemas.openxmlformats.org/spreadsheetml/2006/main" count="667" uniqueCount="196">
  <si>
    <t>N.º</t>
  </si>
  <si>
    <t>N.º Recibo</t>
  </si>
  <si>
    <t>Data</t>
  </si>
  <si>
    <t>Nome do Aluno</t>
  </si>
  <si>
    <t>Ano / Classe</t>
  </si>
  <si>
    <t>Encarregado de Educação</t>
  </si>
  <si>
    <t>Contacto / Telefone</t>
  </si>
  <si>
    <t>N.º Identificação</t>
  </si>
  <si>
    <t>Taxa Inscrição Qtd</t>
  </si>
  <si>
    <t>Taxa Inscrição Valor</t>
  </si>
  <si>
    <t>Seguro Qtd</t>
  </si>
  <si>
    <t>Seguro Valor</t>
  </si>
  <si>
    <t>Outros Desc</t>
  </si>
  <si>
    <t>Outros Qtd</t>
  </si>
  <si>
    <t>Outros Valor</t>
  </si>
  <si>
    <t>Desconto</t>
  </si>
  <si>
    <t>Forma Pagamento</t>
  </si>
  <si>
    <t>Referência / Transação</t>
  </si>
  <si>
    <t>Observações</t>
  </si>
  <si>
    <t>Status</t>
  </si>
  <si>
    <t>EF/001</t>
  </si>
  <si>
    <t>Hazail Epandi Calei da Costa</t>
  </si>
  <si>
    <t>Maternelle</t>
  </si>
  <si>
    <t>Badissadila Mack António da Costa</t>
  </si>
  <si>
    <t>941112100</t>
  </si>
  <si>
    <t>022677763OE055</t>
  </si>
  <si>
    <t>TPA</t>
  </si>
  <si>
    <t>7BB7B2377F6C29BB</t>
  </si>
  <si>
    <t>Emitido</t>
  </si>
  <si>
    <t>EF/002</t>
  </si>
  <si>
    <t>Erick Libânio Sebastião da Silva</t>
  </si>
  <si>
    <t>Maternelle P1</t>
  </si>
  <si>
    <t>EF/003</t>
  </si>
  <si>
    <t>Eloa Marina Sebastião da Silva</t>
  </si>
  <si>
    <t>Maternelle P2</t>
  </si>
  <si>
    <t>EF/004</t>
  </si>
  <si>
    <t>Ivander Trindade Bernardo Clementino</t>
  </si>
  <si>
    <t>EF/005</t>
  </si>
  <si>
    <t>Gael Hanji Ventura Quimbundo</t>
  </si>
  <si>
    <t>Maternelle P3</t>
  </si>
  <si>
    <t>EF/006</t>
  </si>
  <si>
    <t>Ivanna Chayane Bernardo Clementino</t>
  </si>
  <si>
    <t>EF/007</t>
  </si>
  <si>
    <t>Wendy Aryanne Chimuco Sabino</t>
  </si>
  <si>
    <t>1ª Mensalidade</t>
  </si>
  <si>
    <t>Inclui 1ª mensalidade</t>
  </si>
  <si>
    <t>EF/008</t>
  </si>
  <si>
    <t>Kesane Aimé Teixeira Correia de Azevedo</t>
  </si>
  <si>
    <t>Pagamento FALTA</t>
  </si>
  <si>
    <t>Pendente</t>
  </si>
  <si>
    <t>EF/009</t>
  </si>
  <si>
    <t>Kuami Hazael Francisco Venâncio</t>
  </si>
  <si>
    <t>EF/010</t>
  </si>
  <si>
    <t>Kaila Abigail Katata da Silva</t>
  </si>
  <si>
    <t>CM2</t>
  </si>
  <si>
    <t>Manuais</t>
  </si>
  <si>
    <t>EF/011</t>
  </si>
  <si>
    <t>Pedro Henriques Simão dos Santos</t>
  </si>
  <si>
    <t>EF/012</t>
  </si>
  <si>
    <t>Keane António Teixeira Correia de Azevedo</t>
  </si>
  <si>
    <t>Pagamento do Seguro em FALTA</t>
  </si>
  <si>
    <t>EF/013</t>
  </si>
  <si>
    <t>Márcio Uzziel Francisco Venâncio</t>
  </si>
  <si>
    <t>EF/014</t>
  </si>
  <si>
    <t>Nathaniel Dialude Calei da Costa</t>
  </si>
  <si>
    <t>4eme</t>
  </si>
  <si>
    <t>Desconto 10% 2º irmão</t>
  </si>
  <si>
    <t>INSTRUÇÕES: Dados sincronizados a partir do Controlo de Propinas (Contabilidade). Preencha Encarregado, Telefone, BI, Forma de Pagamento e Referência (amarelo). No recibo digite o N.º (coluna A) em H1 (recibo 1) ou H29 (recibo 2).</t>
  </si>
  <si>
    <t>ÉCOLE CONSULAIRE DU CONGO (Brazzaville) DE LUANDA</t>
  </si>
  <si>
    <t>← N.º Recibo 1 (não imprime)</t>
  </si>
  <si>
    <t>Escola de Ensino Francês – Estabelecimento Consular, Filial Nova Vida</t>
  </si>
  <si>
    <t>Luanda, Angola  |  Escola consular – Isenta de impostos</t>
  </si>
  <si>
    <t>RECIBO DE PAGAMENTO DE INSCRIÇÃO</t>
  </si>
  <si>
    <t>N.º do Recibo:</t>
  </si>
  <si>
    <t>Data:</t>
  </si>
  <si>
    <t>DADOS DO ALUNO E ENCARREGADO DE EDUCAÇÃO</t>
  </si>
  <si>
    <t>Nome do Aluno:</t>
  </si>
  <si>
    <t>Ano / Classe:</t>
  </si>
  <si>
    <t>Encarregado de Educação:</t>
  </si>
  <si>
    <t>Contacto / Telefone:</t>
  </si>
  <si>
    <t>N.º de Identificação (BI/Passaporte):</t>
  </si>
  <si>
    <t>DETALHES DO PAGAMENTO</t>
  </si>
  <si>
    <t>Descrição</t>
  </si>
  <si>
    <t>Qtd</t>
  </si>
  <si>
    <t>Valor Unitário</t>
  </si>
  <si>
    <t>Total</t>
  </si>
  <si>
    <t>Taxa de Inscrição – Ano Letivo 2026 / 2027</t>
  </si>
  <si>
    <t>Seguro Escolar</t>
  </si>
  <si>
    <t>Outros:</t>
  </si>
  <si>
    <t>Desconto 10% (2º irmão)</t>
  </si>
  <si>
    <t>TOTAL A PAGAR</t>
  </si>
  <si>
    <t>Forma de Pagamento:</t>
  </si>
  <si>
    <t>Referência / N.º de Transação:</t>
  </si>
  <si>
    <t>Recebido por (Escola):</t>
  </si>
  <si>
    <t>Nome: _________________________</t>
  </si>
  <si>
    <t>Assinatura / Carimbo:</t>
  </si>
  <si>
    <t>Assinatura:</t>
  </si>
  <si>
    <t>Data: ____/____/________</t>
  </si>
  <si>
    <t>Documento gerado para efeitos de comprovativo de pagamento • Conservar este recibo</t>
  </si>
  <si>
    <t>École Consulaire du Congo Brazzaville de Luanda – Escola Consular • Isenta de impostos</t>
  </si>
  <si>
    <t>✂  - - - - - - - - - - - - - - -  CORTAR AQUI  - - - - - - - - - - - - - - -  ✂</t>
  </si>
  <si>
    <t>← N.º Recibo 2 (não imprime)</t>
  </si>
  <si>
    <t>ÉCOLE CONSULAIRE DU CONGO (Brazzaville) DE LUANDA – REGISTO DE RECIBOS FUNDO DE MANEIO</t>
  </si>
  <si>
    <t>N.º Recibo e Status automáticos  •  Amarelo = preencher  •  Verde = calculado  •  Digite RM-xxx no modelo de impressão para gerar o recibo</t>
  </si>
  <si>
    <t>Valor (KZ)</t>
  </si>
  <si>
    <t>Quem recebeu</t>
  </si>
  <si>
    <t>Qualidade</t>
  </si>
  <si>
    <t>Origem / Fundo</t>
  </si>
  <si>
    <t>RM-001</t>
  </si>
  <si>
    <t>Pagamento mão-de-obra pintor</t>
  </si>
  <si>
    <t>Pedro</t>
  </si>
  <si>
    <t>Prestador de serviço / Colaborador</t>
  </si>
  <si>
    <t>Fundo de Maneio</t>
  </si>
  <si>
    <t>RM-002</t>
  </si>
  <si>
    <t>Pagamento transporte pintor</t>
  </si>
  <si>
    <t>RM-003</t>
  </si>
  <si>
    <t>Compra Braçadeiras e fio para esteiras</t>
  </si>
  <si>
    <t>Paulino Nfinda</t>
  </si>
  <si>
    <t>RM-004</t>
  </si>
  <si>
    <t>Transporte p/ entrega de panfletos GAMEK</t>
  </si>
  <si>
    <t>Francisco Kativa</t>
  </si>
  <si>
    <t>RM-005</t>
  </si>
  <si>
    <t>Compra Saco Cimento Cola e transporte</t>
  </si>
  <si>
    <t>RM-006</t>
  </si>
  <si>
    <t>Empréstimo Dona Cristina</t>
  </si>
  <si>
    <t>Dna. Cristina</t>
  </si>
  <si>
    <t>RM-007</t>
  </si>
  <si>
    <t>Transporte p/ serralheiro</t>
  </si>
  <si>
    <t>RM-008</t>
  </si>
  <si>
    <t>Transporte funcionário p/ compra do gesso e etc</t>
  </si>
  <si>
    <t>RM-009</t>
  </si>
  <si>
    <t>Transporte p/ deslocação técnico do gerador</t>
  </si>
  <si>
    <t>Flávio</t>
  </si>
  <si>
    <t>RM-010</t>
  </si>
  <si>
    <t>Adiantamento p/ pintor</t>
  </si>
  <si>
    <t>RM-011</t>
  </si>
  <si>
    <t>Fatura 142 - CASA COMERCIAL</t>
  </si>
  <si>
    <t>Fatura 142</t>
  </si>
  <si>
    <t>RM-012</t>
  </si>
  <si>
    <t>Botija de gás</t>
  </si>
  <si>
    <t>RM-013</t>
  </si>
  <si>
    <t>Compra de Saco Arroz</t>
  </si>
  <si>
    <t>FR2026/21650</t>
  </si>
  <si>
    <t>RM-014</t>
  </si>
  <si>
    <t>Transporte p/ funcionário compras</t>
  </si>
  <si>
    <t>RM-015</t>
  </si>
  <si>
    <t>Compra pão e Sheltox p/ seguranças</t>
  </si>
  <si>
    <t>Alberto</t>
  </si>
  <si>
    <t>RM-016</t>
  </si>
  <si>
    <t>TOTAL</t>
  </si>
  <si>
    <t>Escola Consular – Filial Nova Vida  |  Isenta de impostos</t>
  </si>
  <si>
    <t>RECIBO DE PAGAMENTO EM DINHEIRO (FUNDO DE MANEIO)</t>
  </si>
  <si>
    <t>N.º Recibo:</t>
  </si>
  <si>
    <t>Data emissão:</t>
  </si>
  <si>
    <t>BENEFICIÁRIO</t>
  </si>
  <si>
    <t>Nome:</t>
  </si>
  <si>
    <t>Qualidade:</t>
  </si>
  <si>
    <t>Data pag.:</t>
  </si>
  <si>
    <t>Origem</t>
  </si>
  <si>
    <t>TOTAL PAGO:</t>
  </si>
  <si>
    <t>DECLARAÇÃO</t>
  </si>
  <si>
    <t>O Recebedor</t>
  </si>
  <si>
    <t>Pela Escola (Caixa / Direção)</t>
  </si>
  <si>
    <t>Nome: ____________________</t>
  </si>
  <si>
    <t>Assinatura: _______________</t>
  </si>
  <si>
    <t>Assinatura / Carimbo: ______</t>
  </si>
  <si>
    <t>Documento comprovativo • Conservar este recibo • Escola Consular – Isenta de impostos</t>
  </si>
  <si>
    <t>✂  - - - - - - - - - - - - -  CORTAR AQUI  - - - - - - - - - - - - -  ✂</t>
  </si>
  <si>
    <t xml:space="preserve">Data: </t>
  </si>
  <si>
    <t>DADOS DO BENEFICIÁRIO / RECEBEDOR</t>
  </si>
  <si>
    <t>Nome / Quem recebeu:</t>
  </si>
  <si>
    <t>Prestador de serviço / Fornecedor / Colaborador</t>
  </si>
  <si>
    <t>Forma</t>
  </si>
  <si>
    <t>Dinheiro (Fundo de Maneio)</t>
  </si>
  <si>
    <t>Fundo de Maneio – Levantamento 06-08</t>
  </si>
  <si>
    <t>TOTAL PAGO</t>
  </si>
  <si>
    <t>Declaro ter recebido a quantia de 44,000.00 KZ (em dinheiro) referente a: Pagamento mão-de-obra pintor. O pagamento foi efetuado a partir do Fundo de Maneio da Escola.</t>
  </si>
  <si>
    <t>Assinatura: ____________________</t>
  </si>
  <si>
    <t>Assinatura / Carimbo: __________</t>
  </si>
  <si>
    <t>Documento gerado para efeitos de comprovativo de pagamento em dinheiro • Conservar este recibo</t>
  </si>
  <si>
    <t>Declaro ter recebido a quantia de 2,000.00 KZ (em dinheiro) referente a: Pagamento transporte pintor. O pagamento foi efetuado a partir do Fundo de Maneio da Escola.</t>
  </si>
  <si>
    <t>Fundo de Maneio – Levantamento 08-08</t>
  </si>
  <si>
    <t>Declaro ter recebido a quantia de 10,000.00 KZ (em dinheiro) referente a: Compra Braçadeiras e fio para esteiras. O pagamento foi efetuado a partir do Fundo de Maneio da Escola.</t>
  </si>
  <si>
    <t>Declaro ter recebido a quantia de 1,000.00 KZ (em dinheiro) referente a: Transporte p/ entrega de panfletos GAMEK. O pagamento foi efetuado a partir do Fundo de Maneio da Escola.</t>
  </si>
  <si>
    <t>Declaro ter recebido a quantia de 4,000.00 KZ (em dinheiro) referente a: Compra Saco Cimento Cola e transporte. O pagamento foi efetuado a partir do Fundo de Maneio da Escola.</t>
  </si>
  <si>
    <t>Declaro ter recebido a quantia de 2,000.00 KZ (em dinheiro) referente a: Empréstimo Dona Cristina. O pagamento foi efetuado a partir do Fundo de Maneio da Escola.</t>
  </si>
  <si>
    <t>Declaro ter recebido a quantia de 3,000.00 KZ (em dinheiro) referente a: Transporte p/ serralheiro. O pagamento foi efetuado a partir do Fundo de Maneio da Escola.</t>
  </si>
  <si>
    <t>Fundo de Maneio – Levantamento 09-08</t>
  </si>
  <si>
    <t>Declaro ter recebido a quantia de 2,400.00 KZ (em dinheiro) referente a: Transporte funcionário p/ compra do gesso e etc. O pagamento foi efetuado a partir do Fundo de Maneio da Escola.</t>
  </si>
  <si>
    <t>Fundo de Maneio – Levantamento 11-08</t>
  </si>
  <si>
    <t>Declaro ter recebido a quantia de 2,000.00 KZ (em dinheiro) referente a: Transporte p/ deslocação técnico do gerador. O pagamento foi efetuado a partir do Fundo de Maneio da Escola.</t>
  </si>
  <si>
    <t>Declaro ter recebido a quantia de 6,000.00 KZ (em dinheiro) referente a: Adiantamento p/ pintor. O pagamento foi efetuado a partir do Fundo de Maneio da Escola.</t>
  </si>
  <si>
    <t>NOTA: Este estabelecimento é uma escola consular do Congo. Nos termos da legislação aplicável e do estatuto consular, não está sujeita ao pagamento de impostos (incluindo IVA). O presente recibo não inclui qualquer valor de imposto.</t>
  </si>
  <si>
    <t>RM-017</t>
  </si>
  <si>
    <t>RM-018</t>
  </si>
  <si>
    <t>RM-019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</si>
</sst>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&quot; AOA&quot;"/>
    <numFmt numFmtId="166" formatCode="m/d/yyyy"/>
    <numFmt numFmtId="167" formatCode="dd\-mm\-yyyy"/>
  </numFmts>
  <fonts count="37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9"/>
      <color rgb="FFC00000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1F4E79"/>
      <name val="Arial"/>
      <charset val="1"/>
    </font>
    <font>
      <i/>
      <sz val="8"/>
      <color rgb="FF666666"/>
      <name val="Arial"/>
      <charset val="1"/>
    </font>
    <font>
      <sz val="7"/>
      <color rgb="FF1F4E79"/>
      <name val="Arial"/>
      <charset val="1"/>
    </font>
    <font>
      <b/>
      <sz val="10"/>
      <color rgb="FFFFFFFF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b/>
      <sz val="8"/>
      <color rgb="FFFFFFFF"/>
      <name val="Arial"/>
      <charset val="1"/>
    </font>
    <font>
      <b/>
      <sz val="7"/>
      <color rgb="FFFFFFFF"/>
      <name val="Arial"/>
      <charset val="1"/>
    </font>
    <font>
      <sz val="7"/>
      <name val="Arial"/>
      <charset val="1"/>
    </font>
    <font>
      <sz val="6.5"/>
      <color rgb="FFC00000"/>
      <name val="Arial"/>
      <charset val="1"/>
    </font>
    <font>
      <b/>
      <sz val="7"/>
      <name val="Arial"/>
      <charset val="1"/>
    </font>
    <font>
      <i/>
      <sz val="6.5"/>
      <color rgb="FF666666"/>
      <name val="Arial"/>
      <charset val="1"/>
    </font>
    <font>
      <b/>
      <sz val="8"/>
      <color rgb="FF999999"/>
      <name val="Arial"/>
      <charset val="1"/>
    </font>
    <font>
      <b/>
      <sz val="12"/>
      <color rgb="FFFFFFFF"/>
      <name val="Arial"/>
      <charset val="1"/>
    </font>
    <font>
      <i/>
      <sz val="8"/>
      <color rgb="FF475569"/>
      <name val="Arial"/>
      <charset val="1"/>
    </font>
    <font>
      <sz val="9"/>
      <color rgb="FF0000FF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  <font>
      <sz val="11"/>
      <name val="Calibri"/>
      <charset val="1"/>
    </font>
    <font>
      <b/>
      <sz val="10"/>
      <color rgb="FF0000FF"/>
      <name val="Arial"/>
      <family val="2"/>
      <charset val="1"/>
    </font>
    <font>
      <i/>
      <sz val="6"/>
      <name val="Arial"/>
      <charset val="1"/>
    </font>
    <font>
      <sz val="7"/>
      <color rgb="FF666666"/>
      <name val="Arial"/>
      <charset val="1"/>
    </font>
    <font>
      <i/>
      <sz val="7"/>
      <color rgb="FFCC0000"/>
      <name val="Arial"/>
      <charset val="1"/>
    </font>
    <font>
      <b/>
      <sz val="12"/>
      <color rgb="FF1F4E79"/>
      <name val="Arial"/>
      <charset val="1"/>
    </font>
    <font>
      <sz val="9"/>
      <color rgb="FF666666"/>
      <name val="Arial"/>
      <charset val="1"/>
    </font>
    <font>
      <b/>
      <sz val="11"/>
      <color rgb="FF1F4E79"/>
      <name val="Arial"/>
      <charset val="1"/>
    </font>
    <font>
      <b/>
      <sz val="12"/>
      <color rgb="FFC00000"/>
      <name val="Arial"/>
      <charset val="1"/>
    </font>
    <font>
      <i/>
      <sz val="8"/>
      <name val="Arial"/>
      <charset val="1"/>
    </font>
    <font>
      <i/>
      <sz val="7"/>
      <color rgb="FF666666"/>
      <name val="Arial"/>
      <charset val="1"/>
    </font>
    <font>
      <sz val="8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99"/>
        <bgColor rgb="FFFEF08A"/>
      </patternFill>
    </fill>
    <fill>
      <patternFill patternType="solid">
        <fgColor rgb="FF92D050"/>
        <bgColor rgb="FFB0B0B0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1E3A5F"/>
        <bgColor rgb="FF1F4E79"/>
      </patternFill>
    </fill>
    <fill>
      <patternFill patternType="solid">
        <fgColor rgb="FF0F766E"/>
        <bgColor rgb="FF008080"/>
      </patternFill>
    </fill>
    <fill>
      <patternFill patternType="solid">
        <fgColor rgb="FFD1FAE5"/>
        <bgColor rgb="FFE2EFDA"/>
      </patternFill>
    </fill>
    <fill>
      <patternFill patternType="solid">
        <fgColor rgb="FFFEF08A"/>
        <bgColor rgb="FFFFFF99"/>
      </patternFill>
    </fill>
    <fill>
      <patternFill patternType="solid">
        <fgColor rgb="FFE0F2FE"/>
        <bgColor rgb="FFD6EAF8"/>
      </patternFill>
    </fill>
    <fill>
      <patternFill patternType="solid">
        <fgColor rgb="FFD6EAF8"/>
        <bgColor rgb="FFDCE6F1"/>
      </patternFill>
    </fill>
    <fill>
      <patternFill patternType="solid">
        <fgColor rgb="FFF2F2F2"/>
        <bgColor rgb="FFE0F2FE"/>
      </patternFill>
    </fill>
    <fill>
      <patternFill patternType="solid">
        <fgColor rgb="FF1F4E79"/>
        <bgColor rgb="FF1E3A5F"/>
      </patternFill>
    </fill>
    <fill>
      <patternFill patternType="solid">
        <fgColor rgb="FFDCE6F1"/>
        <bgColor rgb="FFD6EAF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Alignment="1"/>
    <xf numFmtId="0" fontId="5" fillId="0" borderId="0" xfId="0" applyFont="1" applyAlignment="1"/>
    <xf numFmtId="0" fontId="6" fillId="3" borderId="0" xfId="0" applyFont="1" applyFill="1" applyAlignment="1"/>
    <xf numFmtId="0" fontId="8" fillId="0" borderId="0" xfId="0" applyFont="1" applyAlignment="1"/>
    <xf numFmtId="0" fontId="11" fillId="0" borderId="0" xfId="0" applyFont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/>
    <xf numFmtId="3" fontId="11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/>
    <xf numFmtId="0" fontId="17" fillId="0" borderId="0" xfId="0" applyFont="1" applyAlignment="1"/>
    <xf numFmtId="4" fontId="17" fillId="0" borderId="0" xfId="0" applyNumberFormat="1" applyFont="1" applyAlignment="1"/>
    <xf numFmtId="4" fontId="5" fillId="0" borderId="0" xfId="0" applyNumberFormat="1" applyFont="1" applyAlignment="1"/>
    <xf numFmtId="0" fontId="12" fillId="0" borderId="0" xfId="0" applyFont="1" applyAlignment="1"/>
    <xf numFmtId="165" fontId="5" fillId="0" borderId="0" xfId="0" applyNumberFormat="1" applyFont="1" applyAlignment="1"/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/>
    <xf numFmtId="166" fontId="0" fillId="0" borderId="2" xfId="0" applyNumberFormat="1" applyBorder="1" applyAlignment="1"/>
    <xf numFmtId="0" fontId="0" fillId="0" borderId="2" xfId="0" applyFont="1" applyBorder="1" applyAlignment="1"/>
    <xf numFmtId="4" fontId="0" fillId="0" borderId="2" xfId="0" applyNumberFormat="1" applyBorder="1" applyAlignment="1"/>
    <xf numFmtId="0" fontId="2" fillId="9" borderId="2" xfId="0" applyFont="1" applyFill="1" applyBorder="1" applyAlignment="1"/>
    <xf numFmtId="0" fontId="22" fillId="10" borderId="2" xfId="0" applyFont="1" applyFill="1" applyBorder="1" applyAlignment="1"/>
    <xf numFmtId="0" fontId="23" fillId="11" borderId="2" xfId="0" applyFont="1" applyFill="1" applyBorder="1" applyAlignment="1"/>
    <xf numFmtId="0" fontId="0" fillId="11" borderId="2" xfId="0" applyFill="1" applyBorder="1" applyAlignment="1"/>
    <xf numFmtId="4" fontId="23" fillId="11" borderId="2" xfId="0" applyNumberFormat="1" applyFont="1" applyFill="1" applyBorder="1" applyAlignment="1"/>
    <xf numFmtId="0" fontId="25" fillId="0" borderId="0" xfId="0" applyFont="1" applyAlignment="1"/>
    <xf numFmtId="0" fontId="26" fillId="3" borderId="1" xfId="0" applyFont="1" applyFill="1" applyBorder="1" applyAlignment="1">
      <alignment horizontal="center" vertical="center" wrapText="1"/>
    </xf>
    <xf numFmtId="166" fontId="12" fillId="0" borderId="0" xfId="0" applyNumberFormat="1" applyFont="1" applyAlignment="1"/>
    <xf numFmtId="4" fontId="12" fillId="0" borderId="0" xfId="0" applyNumberFormat="1" applyFont="1" applyAlignment="1"/>
    <xf numFmtId="4" fontId="23" fillId="0" borderId="0" xfId="0" applyNumberFormat="1" applyFont="1" applyAlignment="1"/>
    <xf numFmtId="0" fontId="15" fillId="0" borderId="0" xfId="0" applyFont="1" applyAlignment="1"/>
    <xf numFmtId="164" fontId="25" fillId="0" borderId="0" xfId="0" applyNumberFormat="1" applyFont="1" applyAlignment="1"/>
    <xf numFmtId="0" fontId="23" fillId="0" borderId="0" xfId="0" applyFont="1" applyAlignment="1"/>
    <xf numFmtId="0" fontId="6" fillId="0" borderId="0" xfId="0" applyFont="1" applyAlignment="1"/>
    <xf numFmtId="0" fontId="23" fillId="0" borderId="0" xfId="0" applyFont="1" applyAlignment="1">
      <alignment horizontal="right"/>
    </xf>
    <xf numFmtId="167" fontId="2" fillId="0" borderId="0" xfId="0" applyNumberFormat="1" applyFont="1" applyAlignment="1"/>
    <xf numFmtId="166" fontId="0" fillId="0" borderId="0" xfId="0" applyNumberFormat="1" applyAlignment="1"/>
    <xf numFmtId="0" fontId="1" fillId="16" borderId="3" xfId="0" applyFont="1" applyFill="1" applyBorder="1" applyAlignment="1">
      <alignment horizontal="center"/>
    </xf>
    <xf numFmtId="0" fontId="2" fillId="0" borderId="3" xfId="0" applyFont="1" applyBorder="1" applyAlignment="1"/>
    <xf numFmtId="4" fontId="33" fillId="0" borderId="3" xfId="0" applyNumberFormat="1" applyFont="1" applyBorder="1" applyAlignment="1"/>
    <xf numFmtId="0" fontId="6" fillId="0" borderId="4" xfId="0" applyFont="1" applyBorder="1" applyAlignment="1"/>
    <xf numFmtId="4" fontId="33" fillId="17" borderId="4" xfId="0" applyNumberFormat="1" applyFont="1" applyFill="1" applyBorder="1" applyAlignment="1"/>
    <xf numFmtId="0" fontId="2" fillId="0" borderId="0" xfId="0" applyFont="1" applyAlignment="1"/>
    <xf numFmtId="0" fontId="3" fillId="0" borderId="0" xfId="0" applyFont="1" applyBorder="1"/>
    <xf numFmtId="0" fontId="12" fillId="3" borderId="1" xfId="0" applyFont="1" applyFill="1" applyBorder="1" applyAlignment="1">
      <alignment horizontal="left" vertical="center" wrapText="1"/>
    </xf>
    <xf numFmtId="0" fontId="16" fillId="6" borderId="0" xfId="0" applyFont="1" applyFill="1" applyBorder="1" applyAlignment="1">
      <alignment horizontal="left" vertical="center" wrapText="1"/>
    </xf>
    <xf numFmtId="0" fontId="18" fillId="0" borderId="0" xfId="0" applyFont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/>
    </xf>
    <xf numFmtId="0" fontId="9" fillId="0" borderId="0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wrapText="1"/>
    </xf>
    <xf numFmtId="0" fontId="11" fillId="13" borderId="0" xfId="0" applyFont="1" applyFill="1" applyBorder="1" applyAlignment="1"/>
    <xf numFmtId="0" fontId="12" fillId="0" borderId="0" xfId="0" applyFont="1" applyBorder="1" applyAlignment="1"/>
    <xf numFmtId="0" fontId="15" fillId="0" borderId="0" xfId="0" applyFont="1" applyBorder="1" applyAlignment="1">
      <alignment vertical="top" wrapText="1"/>
    </xf>
    <xf numFmtId="0" fontId="15" fillId="0" borderId="0" xfId="0" applyFont="1" applyBorder="1" applyAlignment="1">
      <alignment horizontal="center" vertical="center" wrapText="1"/>
    </xf>
    <xf numFmtId="0" fontId="23" fillId="12" borderId="0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4" fillId="0" borderId="0" xfId="0" applyFont="1" applyBorder="1" applyAlignment="1"/>
    <xf numFmtId="0" fontId="2" fillId="0" borderId="0" xfId="0" applyFont="1" applyBorder="1" applyAlignment="1"/>
    <xf numFmtId="0" fontId="32" fillId="15" borderId="0" xfId="0" applyFont="1" applyFill="1" applyBorder="1" applyAlignment="1"/>
    <xf numFmtId="0" fontId="34" fillId="0" borderId="0" xfId="0" applyFont="1" applyBorder="1" applyAlignment="1">
      <alignment vertical="top" wrapText="1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0" fillId="1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EF08A"/>
      <rgbColor rgb="FFFF00FF"/>
      <rgbColor rgb="FF00FFFF"/>
      <rgbColor rgb="FFC00000"/>
      <rgbColor rgb="FF008000"/>
      <rgbColor rgb="FF000080"/>
      <rgbColor rgb="FF808000"/>
      <rgbColor rgb="FF800080"/>
      <rgbColor rgb="FF0F766E"/>
      <rgbColor rgb="FFB0B0B0"/>
      <rgbColor rgb="FF808080"/>
      <rgbColor rgb="FF94A3B8"/>
      <rgbColor rgb="FF993366"/>
      <rgbColor rgb="FFFFF2CC"/>
      <rgbColor rgb="FFE0F2FE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1FAE5"/>
      <rgbColor rgb="FFFFFF99"/>
      <rgbColor rgb="FFE2EFDA"/>
      <rgbColor rgb="FFF2F2F2"/>
      <rgbColor rgb="FFCC99FF"/>
      <rgbColor rgb="FFFCE4D6"/>
      <rgbColor rgb="FF2E75B6"/>
      <rgbColor rgb="FF33CCCC"/>
      <rgbColor rgb="FF92D050"/>
      <rgbColor rgb="FFFFCC00"/>
      <rgbColor rgb="FFFF9900"/>
      <rgbColor rgb="FFFF6600"/>
      <rgbColor rgb="FF666666"/>
      <rgbColor rgb="FF999999"/>
      <rgbColor rgb="FF1E3A5F"/>
      <rgbColor rgb="FF00B050"/>
      <rgbColor rgb="FF003300"/>
      <rgbColor rgb="FF333300"/>
      <rgbColor rgb="FF993300"/>
      <rgbColor rgb="FF993366"/>
      <rgbColor rgb="FF1F4E79"/>
      <rgbColor rgb="FF47556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666195</xdr:colOff>
      <xdr:row>4</xdr:row>
      <xdr:rowOff>18360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675720" cy="45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475560</xdr:colOff>
      <xdr:row>4</xdr:row>
      <xdr:rowOff>56520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074920" y="190440"/>
          <a:ext cx="475560" cy="49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666195</xdr:colOff>
      <xdr:row>34</xdr:row>
      <xdr:rowOff>18360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514760"/>
          <a:ext cx="675720" cy="45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475560</xdr:colOff>
      <xdr:row>34</xdr:row>
      <xdr:rowOff>56520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074920" y="4514760"/>
          <a:ext cx="475560" cy="494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zoomScaleNormal="100" workbookViewId="0">
      <pane ySplit="1" topLeftCell="A2" activePane="bottomLeft" state="frozen"/>
      <selection pane="bottomLeft" activeCell="D11" sqref="D11"/>
    </sheetView>
  </sheetViews>
  <sheetFormatPr defaultColWidth="8.7109375" defaultRowHeight="15" x14ac:dyDescent="0.25"/>
  <cols>
    <col min="1" max="1" width="6" style="1" customWidth="1"/>
    <col min="2" max="3" width="12" style="1" customWidth="1"/>
    <col min="4" max="4" width="35.140625" style="1" customWidth="1"/>
    <col min="5" max="5" width="14" style="1" customWidth="1"/>
    <col min="6" max="6" width="32" style="1" customWidth="1"/>
    <col min="7" max="7" width="14" style="1" customWidth="1"/>
    <col min="8" max="8" width="18" style="1" customWidth="1"/>
    <col min="9" max="9" width="10" style="1" customWidth="1"/>
    <col min="10" max="10" width="14" style="1" customWidth="1"/>
    <col min="11" max="11" width="10" style="1" customWidth="1"/>
    <col min="12" max="12" width="12" style="1" customWidth="1"/>
    <col min="13" max="13" width="18" style="1" customWidth="1"/>
    <col min="14" max="14" width="10" style="1" customWidth="1"/>
    <col min="15" max="16" width="12" style="1" customWidth="1"/>
    <col min="17" max="17" width="28" style="1" customWidth="1"/>
    <col min="18" max="19" width="20" style="1" customWidth="1"/>
    <col min="20" max="20" width="12" style="1" customWidth="1"/>
  </cols>
  <sheetData>
    <row r="1" spans="1:2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customHeight="1" x14ac:dyDescent="0.25">
      <c r="A2" s="3">
        <v>1</v>
      </c>
      <c r="B2" s="3" t="s">
        <v>20</v>
      </c>
      <c r="C2" s="4">
        <v>46229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3">
        <v>1</v>
      </c>
      <c r="J2" s="6">
        <v>150000</v>
      </c>
      <c r="K2" s="3">
        <v>1</v>
      </c>
      <c r="L2" s="6">
        <v>30000</v>
      </c>
      <c r="M2" s="5"/>
      <c r="N2" s="3"/>
      <c r="O2" s="6"/>
      <c r="P2" s="6">
        <v>18000</v>
      </c>
      <c r="Q2" s="5" t="s">
        <v>26</v>
      </c>
      <c r="R2" s="5" t="s">
        <v>27</v>
      </c>
      <c r="S2" s="5"/>
      <c r="T2" s="5" t="s">
        <v>28</v>
      </c>
    </row>
    <row r="3" spans="1:20" ht="15" customHeight="1" x14ac:dyDescent="0.25">
      <c r="A3" s="3">
        <v>2</v>
      </c>
      <c r="B3" s="3" t="s">
        <v>29</v>
      </c>
      <c r="C3" s="4">
        <v>46235</v>
      </c>
      <c r="D3" s="5" t="s">
        <v>30</v>
      </c>
      <c r="E3" s="5" t="s">
        <v>31</v>
      </c>
      <c r="F3" s="5"/>
      <c r="G3" s="5"/>
      <c r="H3" s="5"/>
      <c r="I3" s="3">
        <v>1</v>
      </c>
      <c r="J3" s="6">
        <v>150000</v>
      </c>
      <c r="K3" s="3">
        <v>1</v>
      </c>
      <c r="L3" s="6">
        <v>30000</v>
      </c>
      <c r="M3" s="5"/>
      <c r="N3" s="3"/>
      <c r="O3" s="6"/>
      <c r="P3" s="6">
        <v>0</v>
      </c>
      <c r="Q3" s="5"/>
      <c r="R3" s="5"/>
      <c r="S3" s="5"/>
      <c r="T3" s="5" t="s">
        <v>28</v>
      </c>
    </row>
    <row r="4" spans="1:20" ht="15" customHeight="1" x14ac:dyDescent="0.25">
      <c r="A4" s="3">
        <v>3</v>
      </c>
      <c r="B4" s="3" t="s">
        <v>32</v>
      </c>
      <c r="C4" s="4">
        <v>46235</v>
      </c>
      <c r="D4" s="5" t="s">
        <v>33</v>
      </c>
      <c r="E4" s="5" t="s">
        <v>34</v>
      </c>
      <c r="F4" s="5"/>
      <c r="G4" s="5"/>
      <c r="H4" s="5"/>
      <c r="I4" s="3">
        <v>1</v>
      </c>
      <c r="J4" s="6">
        <v>150000</v>
      </c>
      <c r="K4" s="3">
        <v>1</v>
      </c>
      <c r="L4" s="6">
        <v>30000</v>
      </c>
      <c r="M4" s="5"/>
      <c r="N4" s="3"/>
      <c r="O4" s="6"/>
      <c r="P4" s="6">
        <v>0</v>
      </c>
      <c r="Q4" s="5"/>
      <c r="R4" s="5"/>
      <c r="S4" s="5"/>
      <c r="T4" s="5" t="s">
        <v>28</v>
      </c>
    </row>
    <row r="5" spans="1:20" ht="15" customHeight="1" x14ac:dyDescent="0.25">
      <c r="A5" s="3">
        <v>4</v>
      </c>
      <c r="B5" s="3" t="s">
        <v>35</v>
      </c>
      <c r="C5" s="4">
        <v>46240</v>
      </c>
      <c r="D5" s="5" t="s">
        <v>36</v>
      </c>
      <c r="E5" s="5" t="s">
        <v>34</v>
      </c>
      <c r="F5" s="5"/>
      <c r="G5" s="5"/>
      <c r="H5" s="5"/>
      <c r="I5" s="3">
        <v>1</v>
      </c>
      <c r="J5" s="6">
        <v>150000</v>
      </c>
      <c r="K5" s="3">
        <v>1</v>
      </c>
      <c r="L5" s="6">
        <v>30000</v>
      </c>
      <c r="M5" s="5"/>
      <c r="N5" s="3"/>
      <c r="O5" s="6"/>
      <c r="P5" s="6">
        <v>0</v>
      </c>
      <c r="Q5" s="5"/>
      <c r="R5" s="5"/>
      <c r="S5" s="5"/>
      <c r="T5" s="5" t="s">
        <v>28</v>
      </c>
    </row>
    <row r="6" spans="1:20" ht="15" customHeight="1" x14ac:dyDescent="0.25">
      <c r="A6" s="3">
        <v>5</v>
      </c>
      <c r="B6" s="3" t="s">
        <v>37</v>
      </c>
      <c r="C6" s="4">
        <v>46237</v>
      </c>
      <c r="D6" s="5" t="s">
        <v>38</v>
      </c>
      <c r="E6" s="5" t="s">
        <v>39</v>
      </c>
      <c r="F6" s="5"/>
      <c r="G6" s="5"/>
      <c r="H6" s="5"/>
      <c r="I6" s="3">
        <v>1</v>
      </c>
      <c r="J6" s="6">
        <v>150000</v>
      </c>
      <c r="K6" s="3">
        <v>1</v>
      </c>
      <c r="L6" s="6">
        <v>30000</v>
      </c>
      <c r="M6" s="5"/>
      <c r="N6" s="3"/>
      <c r="O6" s="6"/>
      <c r="P6" s="6">
        <v>0</v>
      </c>
      <c r="Q6" s="5"/>
      <c r="R6" s="5"/>
      <c r="S6" s="5"/>
      <c r="T6" s="5" t="s">
        <v>28</v>
      </c>
    </row>
    <row r="7" spans="1:20" ht="15" customHeight="1" x14ac:dyDescent="0.25">
      <c r="A7" s="3">
        <v>6</v>
      </c>
      <c r="B7" s="3" t="s">
        <v>40</v>
      </c>
      <c r="C7" s="4">
        <v>46240</v>
      </c>
      <c r="D7" s="5" t="s">
        <v>41</v>
      </c>
      <c r="E7" s="5" t="s">
        <v>39</v>
      </c>
      <c r="F7" s="5"/>
      <c r="G7" s="5"/>
      <c r="H7" s="5"/>
      <c r="I7" s="3">
        <v>1</v>
      </c>
      <c r="J7" s="6">
        <v>150000</v>
      </c>
      <c r="K7" s="3">
        <v>1</v>
      </c>
      <c r="L7" s="6">
        <v>30000</v>
      </c>
      <c r="M7" s="5"/>
      <c r="N7" s="3"/>
      <c r="O7" s="6"/>
      <c r="P7" s="6">
        <v>0</v>
      </c>
      <c r="Q7" s="5"/>
      <c r="R7" s="5"/>
      <c r="S7" s="5"/>
      <c r="T7" s="5" t="s">
        <v>28</v>
      </c>
    </row>
    <row r="8" spans="1:20" ht="15" customHeight="1" x14ac:dyDescent="0.25">
      <c r="A8" s="3">
        <v>7</v>
      </c>
      <c r="B8" s="3" t="s">
        <v>42</v>
      </c>
      <c r="C8" s="4">
        <v>46232</v>
      </c>
      <c r="D8" s="5" t="s">
        <v>43</v>
      </c>
      <c r="E8" s="5" t="s">
        <v>39</v>
      </c>
      <c r="F8" s="5"/>
      <c r="G8" s="5"/>
      <c r="H8" s="5"/>
      <c r="I8" s="3">
        <v>1</v>
      </c>
      <c r="J8" s="6">
        <v>150000</v>
      </c>
      <c r="K8" s="3">
        <v>1</v>
      </c>
      <c r="L8" s="6">
        <v>30000</v>
      </c>
      <c r="M8" s="5" t="s">
        <v>44</v>
      </c>
      <c r="N8" s="3">
        <v>1</v>
      </c>
      <c r="O8" s="6">
        <v>170000</v>
      </c>
      <c r="P8" s="6">
        <v>0</v>
      </c>
      <c r="Q8" s="5"/>
      <c r="R8" s="5"/>
      <c r="S8" s="5" t="s">
        <v>45</v>
      </c>
      <c r="T8" s="5" t="s">
        <v>28</v>
      </c>
    </row>
    <row r="9" spans="1:20" ht="15" customHeight="1" x14ac:dyDescent="0.25">
      <c r="A9" s="3">
        <v>8</v>
      </c>
      <c r="B9" s="3" t="s">
        <v>46</v>
      </c>
      <c r="C9" s="3"/>
      <c r="D9" s="5" t="s">
        <v>47</v>
      </c>
      <c r="E9" s="5" t="s">
        <v>31</v>
      </c>
      <c r="F9" s="5"/>
      <c r="G9" s="5"/>
      <c r="H9" s="5"/>
      <c r="I9" s="3"/>
      <c r="J9" s="6"/>
      <c r="K9" s="3"/>
      <c r="L9" s="6"/>
      <c r="M9" s="5"/>
      <c r="N9" s="3"/>
      <c r="O9" s="6"/>
      <c r="P9" s="6">
        <v>0</v>
      </c>
      <c r="Q9" s="5"/>
      <c r="R9" s="5"/>
      <c r="S9" s="5" t="s">
        <v>48</v>
      </c>
      <c r="T9" s="5" t="s">
        <v>49</v>
      </c>
    </row>
    <row r="10" spans="1:20" ht="15" customHeight="1" x14ac:dyDescent="0.25">
      <c r="A10" s="3">
        <v>9</v>
      </c>
      <c r="B10" s="3" t="s">
        <v>50</v>
      </c>
      <c r="C10" s="4">
        <v>46245</v>
      </c>
      <c r="D10" s="5" t="s">
        <v>51</v>
      </c>
      <c r="E10" s="5" t="s">
        <v>39</v>
      </c>
      <c r="F10" s="5"/>
      <c r="G10" s="5"/>
      <c r="H10" s="5"/>
      <c r="I10" s="3">
        <v>1</v>
      </c>
      <c r="J10" s="6">
        <v>150000</v>
      </c>
      <c r="K10" s="3"/>
      <c r="L10" s="6"/>
      <c r="M10" s="5"/>
      <c r="N10" s="3"/>
      <c r="O10" s="6"/>
      <c r="P10" s="6">
        <v>0</v>
      </c>
      <c r="Q10" s="5"/>
      <c r="R10" s="5"/>
      <c r="S10" s="5"/>
      <c r="T10" s="5" t="s">
        <v>28</v>
      </c>
    </row>
    <row r="11" spans="1:20" ht="15" customHeight="1" x14ac:dyDescent="0.25">
      <c r="A11" s="3">
        <v>10</v>
      </c>
      <c r="B11" s="3" t="s">
        <v>52</v>
      </c>
      <c r="C11" s="4">
        <v>46230</v>
      </c>
      <c r="D11" s="5" t="s">
        <v>53</v>
      </c>
      <c r="E11" s="5" t="s">
        <v>54</v>
      </c>
      <c r="F11" s="5"/>
      <c r="G11" s="5"/>
      <c r="H11" s="5"/>
      <c r="I11" s="3">
        <v>1</v>
      </c>
      <c r="J11" s="6">
        <v>150000</v>
      </c>
      <c r="K11" s="3">
        <v>1</v>
      </c>
      <c r="L11" s="6">
        <v>30000</v>
      </c>
      <c r="M11" s="5" t="s">
        <v>55</v>
      </c>
      <c r="N11" s="3">
        <v>1</v>
      </c>
      <c r="O11" s="6">
        <v>40000</v>
      </c>
      <c r="P11" s="6">
        <v>0</v>
      </c>
      <c r="Q11" s="5"/>
      <c r="R11" s="5"/>
      <c r="S11" s="5"/>
      <c r="T11" s="5" t="s">
        <v>28</v>
      </c>
    </row>
    <row r="12" spans="1:20" x14ac:dyDescent="0.25">
      <c r="A12" s="3">
        <v>11</v>
      </c>
      <c r="B12" s="3" t="s">
        <v>56</v>
      </c>
      <c r="C12" s="4">
        <v>46229</v>
      </c>
      <c r="D12" s="5" t="s">
        <v>57</v>
      </c>
      <c r="E12" s="5" t="s">
        <v>54</v>
      </c>
      <c r="F12" s="5"/>
      <c r="G12" s="5"/>
      <c r="H12" s="5"/>
      <c r="I12" s="3">
        <v>1</v>
      </c>
      <c r="J12" s="6">
        <v>150000</v>
      </c>
      <c r="K12" s="3">
        <v>1</v>
      </c>
      <c r="L12" s="6">
        <v>30000</v>
      </c>
      <c r="M12" s="5" t="s">
        <v>55</v>
      </c>
      <c r="N12" s="3">
        <v>1</v>
      </c>
      <c r="O12" s="6">
        <v>54000</v>
      </c>
      <c r="P12" s="6">
        <v>0</v>
      </c>
      <c r="Q12" s="5"/>
      <c r="R12" s="5"/>
      <c r="S12" s="5"/>
      <c r="T12" s="5" t="s">
        <v>28</v>
      </c>
    </row>
    <row r="13" spans="1:20" ht="15" customHeight="1" x14ac:dyDescent="0.25">
      <c r="A13" s="3">
        <v>12</v>
      </c>
      <c r="B13" s="3" t="s">
        <v>58</v>
      </c>
      <c r="C13" s="4">
        <v>46239</v>
      </c>
      <c r="D13" s="5" t="s">
        <v>59</v>
      </c>
      <c r="E13" s="5" t="s">
        <v>54</v>
      </c>
      <c r="F13" s="5"/>
      <c r="G13" s="5"/>
      <c r="H13" s="5"/>
      <c r="I13" s="3">
        <v>1</v>
      </c>
      <c r="J13" s="6">
        <v>150000</v>
      </c>
      <c r="K13" s="3"/>
      <c r="L13" s="3"/>
      <c r="M13" s="5"/>
      <c r="N13" s="3"/>
      <c r="O13" s="3"/>
      <c r="P13" s="6">
        <v>0</v>
      </c>
      <c r="Q13" s="5"/>
      <c r="R13" s="5"/>
      <c r="S13" s="5" t="s">
        <v>60</v>
      </c>
      <c r="T13" s="5" t="s">
        <v>28</v>
      </c>
    </row>
    <row r="14" spans="1:20" x14ac:dyDescent="0.25">
      <c r="A14" s="3">
        <v>13</v>
      </c>
      <c r="B14" s="3" t="s">
        <v>61</v>
      </c>
      <c r="C14" s="4">
        <v>46245</v>
      </c>
      <c r="D14" s="5" t="s">
        <v>62</v>
      </c>
      <c r="E14" s="5" t="s">
        <v>54</v>
      </c>
      <c r="F14" s="5"/>
      <c r="G14" s="5"/>
      <c r="H14" s="5"/>
      <c r="I14" s="3">
        <v>1</v>
      </c>
      <c r="J14" s="6">
        <v>150000</v>
      </c>
      <c r="K14" s="3"/>
      <c r="L14" s="3"/>
      <c r="M14" s="5"/>
      <c r="N14" s="3"/>
      <c r="O14" s="3"/>
      <c r="P14" s="6">
        <v>0</v>
      </c>
      <c r="Q14" s="5"/>
      <c r="R14" s="5"/>
      <c r="S14" s="5"/>
      <c r="T14" s="5" t="s">
        <v>28</v>
      </c>
    </row>
    <row r="15" spans="1:20" x14ac:dyDescent="0.25">
      <c r="A15" s="3">
        <v>14</v>
      </c>
      <c r="B15" s="3" t="s">
        <v>63</v>
      </c>
      <c r="C15" s="4">
        <v>46229</v>
      </c>
      <c r="D15" s="5" t="s">
        <v>64</v>
      </c>
      <c r="E15" s="5" t="s">
        <v>65</v>
      </c>
      <c r="F15" s="5" t="s">
        <v>23</v>
      </c>
      <c r="G15" s="5" t="s">
        <v>24</v>
      </c>
      <c r="H15" s="5"/>
      <c r="I15" s="3">
        <v>1</v>
      </c>
      <c r="J15" s="6">
        <v>150000</v>
      </c>
      <c r="K15" s="3">
        <v>1</v>
      </c>
      <c r="L15" s="6">
        <v>30000</v>
      </c>
      <c r="M15" s="5"/>
      <c r="N15" s="3"/>
      <c r="O15" s="3"/>
      <c r="P15" s="6">
        <v>18000</v>
      </c>
      <c r="Q15" s="5"/>
      <c r="R15" s="5"/>
      <c r="S15" s="5" t="s">
        <v>66</v>
      </c>
      <c r="T15" s="5" t="s">
        <v>28</v>
      </c>
    </row>
    <row r="16" spans="1:2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59" t="s">
        <v>67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</sheetData>
  <autoFilter ref="A1:T15" xr:uid="{00000000-0009-0000-0000-000000000000}"/>
  <mergeCells count="1">
    <mergeCell ref="A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2"/>
  <sheetViews>
    <sheetView topLeftCell="A22" zoomScaleNormal="100" workbookViewId="0">
      <selection activeCell="H47" sqref="H47"/>
    </sheetView>
  </sheetViews>
  <sheetFormatPr defaultColWidth="8.7109375" defaultRowHeight="15" x14ac:dyDescent="0.25"/>
  <cols>
    <col min="1" max="1" width="10" style="1" customWidth="1"/>
    <col min="2" max="2" width="27.7109375" style="1" customWidth="1"/>
    <col min="3" max="3" width="14" style="1" customWidth="1"/>
    <col min="4" max="5" width="13" style="1" customWidth="1"/>
    <col min="6" max="6" width="10" style="1" customWidth="1"/>
    <col min="7" max="7" width="3" style="1" customWidth="1"/>
    <col min="8" max="8" width="28" style="1" customWidth="1"/>
  </cols>
  <sheetData>
    <row r="1" spans="1:12" ht="15" customHeight="1" x14ac:dyDescent="0.25">
      <c r="A1" s="8"/>
      <c r="B1" s="9"/>
      <c r="C1" s="9"/>
      <c r="D1" s="9"/>
      <c r="E1" s="9"/>
      <c r="F1" s="9"/>
      <c r="G1" s="9"/>
      <c r="H1" s="10">
        <v>7</v>
      </c>
      <c r="I1" s="9"/>
      <c r="J1" s="9"/>
      <c r="K1" s="9"/>
      <c r="L1" s="9"/>
    </row>
    <row r="2" spans="1:12" ht="13.5" customHeight="1" x14ac:dyDescent="0.25">
      <c r="A2" s="9"/>
      <c r="B2" s="68" t="s">
        <v>68</v>
      </c>
      <c r="C2" s="68"/>
      <c r="D2" s="68"/>
      <c r="E2" s="68"/>
      <c r="F2" s="9"/>
      <c r="G2" s="9"/>
      <c r="H2" s="11" t="s">
        <v>69</v>
      </c>
      <c r="I2" s="9"/>
      <c r="J2" s="9"/>
      <c r="K2" s="9"/>
      <c r="L2" s="9"/>
    </row>
    <row r="3" spans="1:12" ht="10.5" customHeight="1" x14ac:dyDescent="0.25">
      <c r="A3" s="9"/>
      <c r="B3" s="65" t="s">
        <v>70</v>
      </c>
      <c r="C3" s="65"/>
      <c r="D3" s="65"/>
      <c r="E3" s="65"/>
      <c r="F3" s="9"/>
      <c r="G3" s="9"/>
      <c r="H3" s="9"/>
      <c r="I3" s="9"/>
      <c r="J3" s="9"/>
      <c r="K3" s="9"/>
      <c r="L3" s="9"/>
    </row>
    <row r="4" spans="1:12" ht="10.5" customHeight="1" x14ac:dyDescent="0.25">
      <c r="A4" s="9"/>
      <c r="B4" s="65" t="s">
        <v>71</v>
      </c>
      <c r="C4" s="65"/>
      <c r="D4" s="65"/>
      <c r="E4" s="65"/>
      <c r="F4" s="9"/>
      <c r="G4" s="9"/>
      <c r="H4" s="9"/>
      <c r="I4" s="9"/>
      <c r="J4" s="9"/>
      <c r="K4" s="9"/>
      <c r="L4" s="9"/>
    </row>
    <row r="5" spans="1:12" ht="15.75" customHeight="1" x14ac:dyDescent="0.25">
      <c r="A5" s="9"/>
      <c r="B5" s="66" t="s">
        <v>72</v>
      </c>
      <c r="C5" s="66"/>
      <c r="D5" s="66"/>
      <c r="E5" s="66"/>
      <c r="F5" s="9"/>
      <c r="G5" s="9"/>
      <c r="H5" s="9"/>
      <c r="I5" s="9"/>
      <c r="J5" s="9"/>
      <c r="K5" s="9"/>
      <c r="L5" s="9"/>
    </row>
    <row r="6" spans="1:12" ht="12.75" customHeight="1" x14ac:dyDescent="0.25">
      <c r="A6" s="9"/>
      <c r="B6" s="12" t="s">
        <v>73</v>
      </c>
      <c r="C6" s="13" t="str">
        <f>IFERROR(INDEX('Registo Inscrições'!B:B,MATCH($H$1,'Registo Inscrições'!$A:$A,0)),"")</f>
        <v>EF/007</v>
      </c>
      <c r="D6" s="14" t="s">
        <v>74</v>
      </c>
      <c r="E6" s="15">
        <f ca="1">IFERROR(IF(INDEX('Registo Inscrições'!C:C,MATCH($H$1,'Registo Inscrições'!$A:$A,0))="",TODAY(),INDEX('Registo Inscrições'!C:C,MATCH($H$1,'Registo Inscrições'!$A:$A,0))),TODAY())</f>
        <v>46232</v>
      </c>
      <c r="F6" s="9"/>
      <c r="G6" s="9"/>
      <c r="H6" s="9"/>
      <c r="I6" s="9"/>
      <c r="J6" s="9"/>
      <c r="K6" s="9"/>
      <c r="L6" s="9"/>
    </row>
    <row r="7" spans="1:12" ht="12.75" customHeight="1" x14ac:dyDescent="0.25">
      <c r="A7" s="9"/>
      <c r="B7" s="63" t="s">
        <v>75</v>
      </c>
      <c r="C7" s="63"/>
      <c r="D7" s="63"/>
      <c r="E7" s="63"/>
      <c r="F7" s="9"/>
      <c r="G7" s="9"/>
      <c r="H7" s="9"/>
      <c r="I7" s="9"/>
      <c r="J7" s="9"/>
      <c r="K7" s="9"/>
      <c r="L7" s="9"/>
    </row>
    <row r="8" spans="1:12" ht="12" customHeight="1" x14ac:dyDescent="0.25">
      <c r="A8" s="9"/>
      <c r="B8" s="12" t="s">
        <v>76</v>
      </c>
      <c r="C8" s="60" t="str">
        <f>IFERROR(INDEX('Registo Inscrições'!D:D,MATCH($H$1,'Registo Inscrições'!$A:$A,0)),"")</f>
        <v>Wendy Aryanne Chimuco Sabino</v>
      </c>
      <c r="D8" s="60"/>
      <c r="E8" s="60"/>
      <c r="F8" s="9"/>
      <c r="G8" s="9"/>
      <c r="H8" s="9"/>
      <c r="I8" s="9"/>
      <c r="J8" s="9"/>
      <c r="K8" s="9"/>
      <c r="L8" s="9"/>
    </row>
    <row r="9" spans="1:12" ht="12" customHeight="1" x14ac:dyDescent="0.25">
      <c r="A9" s="9"/>
      <c r="B9" s="12" t="s">
        <v>77</v>
      </c>
      <c r="C9" s="60" t="str">
        <f>IFERROR(INDEX('Registo Inscrições'!E:E,MATCH($H$1,'Registo Inscrições'!$A:$A,0)),"")</f>
        <v>Maternelle P3</v>
      </c>
      <c r="D9" s="60"/>
      <c r="E9" s="60"/>
      <c r="F9" s="9"/>
      <c r="G9" s="9"/>
      <c r="H9" s="9"/>
      <c r="I9" s="9"/>
      <c r="J9" s="9"/>
      <c r="K9" s="9"/>
      <c r="L9" s="9"/>
    </row>
    <row r="10" spans="1:12" ht="12" customHeight="1" x14ac:dyDescent="0.25">
      <c r="A10" s="9"/>
      <c r="B10" s="12" t="s">
        <v>78</v>
      </c>
      <c r="C10" s="60">
        <f>IFERROR(INDEX('Registo Inscrições'!F:F,MATCH($H$1,'Registo Inscrições'!$A:$A,0)),"")</f>
        <v>0</v>
      </c>
      <c r="D10" s="60"/>
      <c r="E10" s="60"/>
      <c r="F10" s="9"/>
      <c r="G10" s="9"/>
      <c r="H10" s="9"/>
      <c r="I10" s="9"/>
      <c r="J10" s="9"/>
      <c r="K10" s="9"/>
      <c r="L10" s="9"/>
    </row>
    <row r="11" spans="1:12" ht="12" customHeight="1" x14ac:dyDescent="0.25">
      <c r="A11" s="9"/>
      <c r="B11" s="12" t="s">
        <v>79</v>
      </c>
      <c r="C11" s="60">
        <f>IFERROR(INDEX('Registo Inscrições'!G:G,MATCH($H$1,'Registo Inscrições'!$A:$A,0)),"")</f>
        <v>0</v>
      </c>
      <c r="D11" s="60"/>
      <c r="E11" s="60"/>
      <c r="F11" s="9"/>
      <c r="G11" s="9"/>
      <c r="H11" s="9"/>
      <c r="I11" s="9"/>
      <c r="J11" s="9"/>
      <c r="K11" s="9"/>
      <c r="L11" s="9"/>
    </row>
    <row r="12" spans="1:12" ht="12" customHeight="1" x14ac:dyDescent="0.25">
      <c r="A12" s="9"/>
      <c r="B12" s="12" t="s">
        <v>80</v>
      </c>
      <c r="C12" s="60">
        <f>IFERROR(INDEX('Registo Inscrições'!H:H,MATCH($H$1,'Registo Inscrições'!$A:$A,0)),"")</f>
        <v>0</v>
      </c>
      <c r="D12" s="60"/>
      <c r="E12" s="60"/>
      <c r="F12" s="9"/>
      <c r="G12" s="9"/>
      <c r="H12" s="9"/>
      <c r="I12" s="9"/>
      <c r="J12" s="9"/>
      <c r="K12" s="9"/>
      <c r="L12" s="9"/>
    </row>
    <row r="13" spans="1:12" ht="12.75" customHeight="1" x14ac:dyDescent="0.25">
      <c r="A13" s="9"/>
      <c r="B13" s="63" t="s">
        <v>81</v>
      </c>
      <c r="C13" s="63"/>
      <c r="D13" s="63"/>
      <c r="E13" s="63"/>
      <c r="F13" s="9"/>
      <c r="G13" s="9"/>
      <c r="H13" s="9"/>
      <c r="I13" s="9"/>
      <c r="J13" s="9"/>
      <c r="K13" s="9"/>
      <c r="L13" s="9"/>
    </row>
    <row r="14" spans="1:12" ht="12" customHeight="1" x14ac:dyDescent="0.25">
      <c r="A14" s="9"/>
      <c r="B14" s="16" t="s">
        <v>82</v>
      </c>
      <c r="C14" s="16" t="s">
        <v>83</v>
      </c>
      <c r="D14" s="16" t="s">
        <v>84</v>
      </c>
      <c r="E14" s="16" t="s">
        <v>85</v>
      </c>
      <c r="F14" s="9"/>
      <c r="G14" s="9"/>
      <c r="H14" s="9"/>
      <c r="I14" s="9"/>
      <c r="J14" s="9"/>
      <c r="K14" s="9"/>
      <c r="L14" s="9"/>
    </row>
    <row r="15" spans="1:12" ht="12" customHeight="1" x14ac:dyDescent="0.25">
      <c r="A15" s="9"/>
      <c r="B15" s="17" t="s">
        <v>86</v>
      </c>
      <c r="C15" s="18">
        <f>IFERROR(INDEX('Registo Inscrições'!I:I,MATCH($H$1,'Registo Inscrições'!$A:$A,0)),"")</f>
        <v>1</v>
      </c>
      <c r="D15" s="19">
        <f>IFERROR(INDEX('Registo Inscrições'!J:J,MATCH($H$1,'Registo Inscrições'!$A:$A,0)),"")</f>
        <v>150000</v>
      </c>
      <c r="E15" s="20">
        <f>IF(OR(C15="",D15=""),0,C15*D15)</f>
        <v>150000</v>
      </c>
      <c r="F15" s="9"/>
      <c r="G15" s="9"/>
      <c r="H15" s="9"/>
      <c r="I15" s="9"/>
      <c r="J15" s="9"/>
      <c r="K15" s="9"/>
      <c r="L15" s="9"/>
    </row>
    <row r="16" spans="1:12" ht="12" customHeight="1" x14ac:dyDescent="0.25">
      <c r="A16" s="9"/>
      <c r="B16" s="17" t="s">
        <v>87</v>
      </c>
      <c r="C16" s="18">
        <f>IFERROR(INDEX('Registo Inscrições'!K:K,MATCH($H$1,'Registo Inscrições'!$A:$A,0)),"")</f>
        <v>1</v>
      </c>
      <c r="D16" s="19">
        <f>IFERROR(INDEX('Registo Inscrições'!L:L,MATCH($H$1,'Registo Inscrições'!$A:$A,0)),"")</f>
        <v>30000</v>
      </c>
      <c r="E16" s="20">
        <f>IF(OR(C16="",D16=""),0,C16*D16)</f>
        <v>30000</v>
      </c>
      <c r="F16" s="9"/>
      <c r="G16" s="9"/>
      <c r="H16" s="9"/>
      <c r="I16" s="9"/>
      <c r="J16" s="9"/>
      <c r="K16" s="9"/>
      <c r="L16" s="9"/>
    </row>
    <row r="17" spans="1:12" ht="12" customHeight="1" x14ac:dyDescent="0.25">
      <c r="A17" s="9"/>
      <c r="B17" s="17" t="s">
        <v>88</v>
      </c>
      <c r="C17" s="18">
        <f>IFERROR(INDEX('Registo Inscrições'!N:N,MATCH($H$1,'Registo Inscrições'!$A:$A,0)),"")</f>
        <v>1</v>
      </c>
      <c r="D17" s="19">
        <f>IFERROR(INDEX('Registo Inscrições'!O:O,MATCH($H$1,'Registo Inscrições'!$A:$A,0)),"")</f>
        <v>170000</v>
      </c>
      <c r="E17" s="20">
        <f>IF(OR(C17="",D17=""),0,C17*D17)</f>
        <v>170000</v>
      </c>
      <c r="F17" s="9"/>
      <c r="G17" s="9"/>
      <c r="H17" s="9"/>
      <c r="I17" s="9"/>
      <c r="J17" s="9"/>
      <c r="K17" s="9"/>
      <c r="L17" s="9"/>
    </row>
    <row r="18" spans="1:12" ht="12" customHeight="1" x14ac:dyDescent="0.25">
      <c r="A18" s="9"/>
      <c r="B18" s="17" t="s">
        <v>89</v>
      </c>
      <c r="C18" s="21"/>
      <c r="D18" s="21"/>
      <c r="E18" s="19">
        <f>IFERROR(-ABS(INDEX('Registo Inscrições'!P:P,MATCH($H$1,'Registo Inscrições'!$A:$A,0))),0)</f>
        <v>0</v>
      </c>
      <c r="F18" s="9"/>
      <c r="G18" s="9"/>
      <c r="H18" s="9"/>
      <c r="I18" s="9"/>
      <c r="J18" s="9"/>
      <c r="K18" s="9"/>
      <c r="L18" s="9"/>
    </row>
    <row r="19" spans="1:12" ht="13.5" customHeight="1" x14ac:dyDescent="0.25">
      <c r="A19" s="9"/>
      <c r="B19" s="64" t="s">
        <v>90</v>
      </c>
      <c r="C19" s="64"/>
      <c r="D19" s="64"/>
      <c r="E19" s="22">
        <f>SUM(E15:E18)</f>
        <v>350000</v>
      </c>
      <c r="F19" s="9"/>
      <c r="G19" s="9"/>
      <c r="H19" s="9"/>
      <c r="I19" s="9"/>
      <c r="J19" s="9"/>
      <c r="K19" s="9"/>
      <c r="L19" s="9"/>
    </row>
    <row r="20" spans="1:12" ht="12" customHeight="1" x14ac:dyDescent="0.25">
      <c r="A20" s="9"/>
      <c r="B20" s="23" t="s">
        <v>91</v>
      </c>
      <c r="C20" s="60" t="str">
        <f>IFERROR("☐ Numerário    ☐ Transferência Bancária    ☐ Outro: "&amp;INDEX('Registo Inscrições'!Q:Q,MATCH($H$1,'Registo Inscrições'!$A:$A,0)),"☐ Numerário    ☐ Transferência Bancária    ☐ Outro: ")</f>
        <v xml:space="preserve">☐ Numerário    ☐ Transferência Bancária    ☐ Outro: </v>
      </c>
      <c r="D20" s="60"/>
      <c r="E20" s="60"/>
      <c r="F20" s="9"/>
      <c r="G20" s="9"/>
      <c r="H20" s="9"/>
      <c r="I20" s="9"/>
      <c r="J20" s="9"/>
      <c r="K20" s="9"/>
      <c r="L20" s="9"/>
    </row>
    <row r="21" spans="1:12" ht="12" customHeight="1" x14ac:dyDescent="0.25">
      <c r="A21" s="9"/>
      <c r="B21" s="23" t="s">
        <v>92</v>
      </c>
      <c r="C21" s="60">
        <f>IFERROR(INDEX('Registo Inscrições'!R:R,MATCH($H$1,'Registo Inscrições'!$A:$A,0)),"")</f>
        <v>0</v>
      </c>
      <c r="D21" s="60"/>
      <c r="E21" s="60"/>
      <c r="F21" s="9"/>
      <c r="G21" s="9"/>
      <c r="H21" s="9"/>
      <c r="I21" s="9"/>
      <c r="J21" s="9"/>
      <c r="K21" s="9"/>
      <c r="L21" s="9"/>
    </row>
    <row r="22" spans="1:12" ht="28.5" customHeight="1" x14ac:dyDescent="0.25">
      <c r="A22" s="9"/>
      <c r="B22" s="61" t="s">
        <v>192</v>
      </c>
      <c r="C22" s="61"/>
      <c r="D22" s="61"/>
      <c r="E22" s="61"/>
      <c r="F22" s="9"/>
      <c r="G22" s="9"/>
      <c r="H22" s="9"/>
      <c r="I22" s="9"/>
      <c r="J22" s="9"/>
      <c r="K22" s="9"/>
      <c r="L22" s="9"/>
    </row>
    <row r="23" spans="1:12" ht="10.5" customHeight="1" x14ac:dyDescent="0.25">
      <c r="A23" s="9"/>
      <c r="B23" s="24" t="s">
        <v>93</v>
      </c>
      <c r="C23" s="9"/>
      <c r="D23" s="25" t="s">
        <v>78</v>
      </c>
      <c r="E23" s="26"/>
      <c r="F23" s="9"/>
      <c r="G23" s="9"/>
      <c r="H23" s="9"/>
      <c r="I23" s="9"/>
      <c r="J23" s="9"/>
      <c r="K23" s="9"/>
      <c r="L23" s="9"/>
    </row>
    <row r="24" spans="1:12" ht="10.5" customHeight="1" x14ac:dyDescent="0.25">
      <c r="A24" s="9"/>
      <c r="B24" s="27" t="s">
        <v>94</v>
      </c>
      <c r="C24" s="9"/>
      <c r="D24" s="27" t="s">
        <v>94</v>
      </c>
      <c r="E24" s="28"/>
      <c r="F24" s="9"/>
      <c r="G24" s="9"/>
      <c r="H24" s="9"/>
      <c r="I24" s="9"/>
      <c r="J24" s="9"/>
      <c r="K24" s="9"/>
      <c r="L24" s="9"/>
    </row>
    <row r="25" spans="1:12" ht="10.5" customHeight="1" x14ac:dyDescent="0.25">
      <c r="A25" s="9"/>
      <c r="B25" s="27" t="s">
        <v>95</v>
      </c>
      <c r="C25" s="9"/>
      <c r="D25" s="27" t="s">
        <v>96</v>
      </c>
      <c r="E25" s="9"/>
      <c r="F25" s="9"/>
      <c r="G25" s="9"/>
      <c r="H25" s="9"/>
      <c r="I25" s="9"/>
      <c r="J25" s="9"/>
      <c r="K25" s="9"/>
      <c r="L25" s="9"/>
    </row>
    <row r="26" spans="1:12" ht="10.5" customHeight="1" x14ac:dyDescent="0.25">
      <c r="A26" s="9"/>
      <c r="B26" s="27" t="s">
        <v>97</v>
      </c>
      <c r="C26" s="9"/>
      <c r="D26" s="27" t="s">
        <v>97</v>
      </c>
      <c r="E26" s="9"/>
      <c r="F26" s="9"/>
      <c r="G26" s="9"/>
      <c r="H26" s="9"/>
      <c r="I26" s="9"/>
      <c r="J26" s="9"/>
      <c r="K26" s="9"/>
      <c r="L26" s="9"/>
    </row>
    <row r="27" spans="1:12" ht="9" customHeight="1" x14ac:dyDescent="0.25">
      <c r="A27" s="9"/>
      <c r="B27" s="62" t="s">
        <v>98</v>
      </c>
      <c r="C27" s="62"/>
      <c r="D27" s="62"/>
      <c r="E27" s="62"/>
      <c r="F27" s="9"/>
      <c r="G27" s="9"/>
      <c r="H27" s="9"/>
      <c r="I27" s="9"/>
      <c r="J27" s="9"/>
      <c r="K27" s="9"/>
      <c r="L27" s="9"/>
    </row>
    <row r="28" spans="1:12" ht="9" customHeight="1" x14ac:dyDescent="0.25">
      <c r="A28" s="9"/>
      <c r="B28" s="62" t="s">
        <v>99</v>
      </c>
      <c r="C28" s="62"/>
      <c r="D28" s="62"/>
      <c r="E28" s="62"/>
      <c r="F28" s="9"/>
      <c r="G28" s="9"/>
      <c r="H28" s="9"/>
      <c r="I28" s="9"/>
      <c r="J28" s="9"/>
      <c r="K28" s="9"/>
      <c r="L28" s="9"/>
    </row>
    <row r="29" spans="1:12" ht="9" customHeight="1" x14ac:dyDescent="0.25">
      <c r="A29" s="9"/>
      <c r="B29" s="29"/>
      <c r="C29" s="29"/>
      <c r="D29" s="29"/>
      <c r="E29" s="29"/>
      <c r="F29" s="9"/>
      <c r="G29" s="9"/>
      <c r="H29" s="9"/>
      <c r="I29" s="9"/>
      <c r="J29" s="9"/>
      <c r="K29" s="9"/>
      <c r="L29" s="9"/>
    </row>
    <row r="30" spans="1:12" ht="10.5" customHeight="1" x14ac:dyDescent="0.25">
      <c r="A30" s="8"/>
      <c r="B30" s="67" t="s">
        <v>100</v>
      </c>
      <c r="C30" s="67"/>
      <c r="D30" s="67"/>
      <c r="E30" s="67"/>
      <c r="F30" s="9"/>
      <c r="G30" s="9"/>
      <c r="H30" s="10">
        <v>10</v>
      </c>
      <c r="I30" s="9"/>
      <c r="J30" s="9"/>
      <c r="K30" s="9"/>
      <c r="L30" s="9"/>
    </row>
    <row r="31" spans="1:12" ht="10.5" customHeight="1" x14ac:dyDescent="0.25">
      <c r="A31" s="8"/>
      <c r="B31" s="30"/>
      <c r="C31" s="30"/>
      <c r="D31" s="30"/>
      <c r="E31" s="30"/>
      <c r="F31" s="9"/>
      <c r="G31" s="9"/>
      <c r="H31" s="10"/>
      <c r="I31" s="9"/>
      <c r="J31" s="9"/>
      <c r="K31" s="9"/>
      <c r="L31" s="9"/>
    </row>
    <row r="32" spans="1:12" ht="13.5" customHeight="1" x14ac:dyDescent="0.25">
      <c r="A32" s="9"/>
      <c r="B32" s="68" t="s">
        <v>68</v>
      </c>
      <c r="C32" s="68"/>
      <c r="D32" s="68"/>
      <c r="E32" s="68"/>
      <c r="F32" s="9"/>
      <c r="G32" s="9"/>
      <c r="H32" s="11" t="s">
        <v>101</v>
      </c>
      <c r="I32" s="9"/>
      <c r="J32" s="9"/>
      <c r="K32" s="9"/>
      <c r="L32" s="9"/>
    </row>
    <row r="33" spans="1:12" ht="10.5" customHeight="1" x14ac:dyDescent="0.25">
      <c r="A33" s="9"/>
      <c r="B33" s="65" t="s">
        <v>70</v>
      </c>
      <c r="C33" s="65"/>
      <c r="D33" s="65"/>
      <c r="E33" s="65"/>
      <c r="F33" s="9"/>
      <c r="G33" s="9"/>
      <c r="H33" s="9"/>
      <c r="I33" s="9"/>
      <c r="J33" s="9"/>
      <c r="K33" s="9"/>
      <c r="L33" s="9"/>
    </row>
    <row r="34" spans="1:12" ht="10.5" customHeight="1" x14ac:dyDescent="0.25">
      <c r="A34" s="9"/>
      <c r="B34" s="65" t="s">
        <v>71</v>
      </c>
      <c r="C34" s="65"/>
      <c r="D34" s="65"/>
      <c r="E34" s="65"/>
      <c r="F34" s="9"/>
      <c r="G34" s="9"/>
      <c r="H34" s="9"/>
      <c r="I34" s="9"/>
      <c r="J34" s="9"/>
      <c r="K34" s="9"/>
      <c r="L34" s="9"/>
    </row>
    <row r="35" spans="1:12" ht="15.75" customHeight="1" x14ac:dyDescent="0.25">
      <c r="A35" s="9"/>
      <c r="B35" s="66" t="s">
        <v>72</v>
      </c>
      <c r="C35" s="66"/>
      <c r="D35" s="66"/>
      <c r="E35" s="66"/>
      <c r="F35" s="9"/>
      <c r="G35" s="9"/>
      <c r="H35" s="9"/>
      <c r="I35" s="9"/>
      <c r="J35" s="9"/>
      <c r="K35" s="9"/>
      <c r="L35" s="9"/>
    </row>
    <row r="36" spans="1:12" ht="12.75" customHeight="1" x14ac:dyDescent="0.25">
      <c r="A36" s="9"/>
      <c r="B36" s="12" t="s">
        <v>73</v>
      </c>
      <c r="C36" s="13" t="str">
        <f>IFERROR(INDEX('Registo Inscrições'!B:B,MATCH($H$30,'Registo Inscrições'!$A:$A,0)),"")</f>
        <v>EF/010</v>
      </c>
      <c r="D36" s="14" t="s">
        <v>74</v>
      </c>
      <c r="E36" s="15">
        <f ca="1">IFERROR(IF(INDEX('Registo Inscrições'!C:C,MATCH($H$30,'Registo Inscrições'!$A:$A,0))="",TODAY(),INDEX('Registo Inscrições'!C:C,MATCH($H$30,'Registo Inscrições'!$A:$A,0))),TODAY())</f>
        <v>46230</v>
      </c>
      <c r="F36" s="9"/>
      <c r="G36" s="9"/>
      <c r="H36" s="9"/>
      <c r="I36" s="9"/>
      <c r="J36" s="9"/>
      <c r="K36" s="9"/>
      <c r="L36" s="9"/>
    </row>
    <row r="37" spans="1:12" ht="12.75" customHeight="1" x14ac:dyDescent="0.25">
      <c r="A37" s="9"/>
      <c r="B37" s="63" t="s">
        <v>75</v>
      </c>
      <c r="C37" s="63"/>
      <c r="D37" s="63"/>
      <c r="E37" s="63"/>
      <c r="F37" s="9"/>
      <c r="G37" s="9"/>
      <c r="H37" s="9"/>
      <c r="I37" s="9"/>
      <c r="J37" s="9"/>
      <c r="K37" s="9"/>
      <c r="L37" s="9"/>
    </row>
    <row r="38" spans="1:12" ht="12" customHeight="1" x14ac:dyDescent="0.25">
      <c r="A38" s="9"/>
      <c r="B38" s="12" t="s">
        <v>76</v>
      </c>
      <c r="C38" s="60" t="str">
        <f>IFERROR(INDEX('Registo Inscrições'!D:D,MATCH($H$30,'Registo Inscrições'!$A:$A,0)),"")</f>
        <v>Kaila Abigail Katata da Silva</v>
      </c>
      <c r="D38" s="60"/>
      <c r="E38" s="60"/>
      <c r="F38" s="9"/>
      <c r="G38" s="9"/>
      <c r="H38" s="9"/>
      <c r="I38" s="9"/>
      <c r="J38" s="9"/>
      <c r="K38" s="9"/>
      <c r="L38" s="9"/>
    </row>
    <row r="39" spans="1:12" ht="12" customHeight="1" x14ac:dyDescent="0.25">
      <c r="A39" s="9"/>
      <c r="B39" s="12" t="s">
        <v>77</v>
      </c>
      <c r="C39" s="60" t="str">
        <f>IFERROR(INDEX('Registo Inscrições'!E:E,MATCH($H$30,'Registo Inscrições'!$A:$A,0)),"")</f>
        <v>CM2</v>
      </c>
      <c r="D39" s="60"/>
      <c r="E39" s="60"/>
      <c r="F39" s="9"/>
      <c r="G39" s="9"/>
      <c r="H39" s="9"/>
      <c r="I39" s="9"/>
      <c r="J39" s="9"/>
      <c r="K39" s="9"/>
      <c r="L39" s="9"/>
    </row>
    <row r="40" spans="1:12" ht="12" customHeight="1" x14ac:dyDescent="0.25">
      <c r="A40" s="9"/>
      <c r="B40" s="12" t="s">
        <v>78</v>
      </c>
      <c r="C40" s="60">
        <f>IFERROR(INDEX('Registo Inscrições'!F:F,MATCH($H$30,'Registo Inscrições'!$A:$A,0)),"")</f>
        <v>0</v>
      </c>
      <c r="D40" s="60"/>
      <c r="E40" s="60"/>
      <c r="F40" s="9"/>
      <c r="G40" s="9"/>
      <c r="H40" s="9"/>
      <c r="I40" s="9"/>
      <c r="J40" s="9"/>
      <c r="K40" s="9"/>
      <c r="L40" s="9"/>
    </row>
    <row r="41" spans="1:12" ht="12" customHeight="1" x14ac:dyDescent="0.25">
      <c r="A41" s="9"/>
      <c r="B41" s="12" t="s">
        <v>79</v>
      </c>
      <c r="C41" s="60">
        <f>IFERROR(INDEX('Registo Inscrições'!G:G,MATCH($H$30,'Registo Inscrições'!$A:$A,0)),"")</f>
        <v>0</v>
      </c>
      <c r="D41" s="60"/>
      <c r="E41" s="60"/>
      <c r="F41" s="9"/>
      <c r="G41" s="9"/>
      <c r="H41" s="9"/>
      <c r="I41" s="9"/>
      <c r="J41" s="9"/>
      <c r="K41" s="9"/>
      <c r="L41" s="9"/>
    </row>
    <row r="42" spans="1:12" ht="12" customHeight="1" x14ac:dyDescent="0.25">
      <c r="A42" s="9"/>
      <c r="B42" s="12" t="s">
        <v>80</v>
      </c>
      <c r="C42" s="60">
        <f>IFERROR(INDEX('Registo Inscrições'!H:H,MATCH($H$30,'Registo Inscrições'!$A:$A,0)),"")</f>
        <v>0</v>
      </c>
      <c r="D42" s="60"/>
      <c r="E42" s="60"/>
      <c r="F42" s="9"/>
      <c r="G42" s="9"/>
      <c r="H42" s="9"/>
      <c r="I42" s="9"/>
      <c r="J42" s="9"/>
      <c r="K42" s="9"/>
      <c r="L42" s="9"/>
    </row>
    <row r="43" spans="1:12" ht="12.75" customHeight="1" x14ac:dyDescent="0.25">
      <c r="A43" s="9"/>
      <c r="B43" s="63" t="s">
        <v>81</v>
      </c>
      <c r="C43" s="63"/>
      <c r="D43" s="63"/>
      <c r="E43" s="63"/>
      <c r="F43" s="9"/>
      <c r="G43" s="9"/>
      <c r="H43" s="9"/>
      <c r="I43" s="9"/>
      <c r="J43" s="9"/>
      <c r="K43" s="9"/>
      <c r="L43" s="9"/>
    </row>
    <row r="44" spans="1:12" ht="12" customHeight="1" x14ac:dyDescent="0.25">
      <c r="A44" s="9"/>
      <c r="B44" s="16" t="s">
        <v>82</v>
      </c>
      <c r="C44" s="16" t="s">
        <v>83</v>
      </c>
      <c r="D44" s="16" t="s">
        <v>84</v>
      </c>
      <c r="E44" s="16" t="s">
        <v>85</v>
      </c>
      <c r="F44" s="9"/>
      <c r="G44" s="9"/>
      <c r="H44" s="9"/>
      <c r="I44" s="9"/>
      <c r="J44" s="9"/>
      <c r="K44" s="9"/>
      <c r="L44" s="9"/>
    </row>
    <row r="45" spans="1:12" ht="12" customHeight="1" x14ac:dyDescent="0.25">
      <c r="A45" s="9"/>
      <c r="B45" s="17" t="s">
        <v>86</v>
      </c>
      <c r="C45" s="18">
        <f>IFERROR(INDEX('Registo Inscrições'!I:I,MATCH($H$30,'Registo Inscrições'!$A:$A,0)),"")</f>
        <v>1</v>
      </c>
      <c r="D45" s="19">
        <f>IFERROR(INDEX('Registo Inscrições'!J:J,MATCH($H$30,'Registo Inscrições'!$A:$A,0)),"")</f>
        <v>150000</v>
      </c>
      <c r="E45" s="20">
        <f>IF(OR(C45="",D45=""),0,C45*D45)</f>
        <v>150000</v>
      </c>
      <c r="F45" s="9"/>
      <c r="G45" s="9"/>
      <c r="H45" s="9"/>
      <c r="I45" s="9"/>
      <c r="J45" s="9"/>
      <c r="K45" s="9"/>
      <c r="L45" s="9"/>
    </row>
    <row r="46" spans="1:12" ht="12" customHeight="1" x14ac:dyDescent="0.25">
      <c r="A46" s="9"/>
      <c r="B46" s="17" t="s">
        <v>87</v>
      </c>
      <c r="C46" s="18">
        <f>IFERROR(INDEX('Registo Inscrições'!K:K,MATCH($H$30,'Registo Inscrições'!$A:$A,0)),"")</f>
        <v>1</v>
      </c>
      <c r="D46" s="19">
        <f>IFERROR(INDEX('Registo Inscrições'!L:L,MATCH($H$30,'Registo Inscrições'!$A:$A,0)),"")</f>
        <v>30000</v>
      </c>
      <c r="E46" s="20">
        <f>IF(OR(C46="",D46=""),0,C46*D46)</f>
        <v>30000</v>
      </c>
      <c r="F46" s="9"/>
      <c r="G46" s="9"/>
      <c r="H46" s="9"/>
      <c r="I46" s="9"/>
      <c r="J46" s="9"/>
      <c r="K46" s="9"/>
      <c r="L46" s="9"/>
    </row>
    <row r="47" spans="1:12" ht="12" customHeight="1" x14ac:dyDescent="0.25">
      <c r="A47" s="9"/>
      <c r="B47" s="17" t="s">
        <v>88</v>
      </c>
      <c r="C47" s="18">
        <f>IFERROR(INDEX('Registo Inscrições'!N:N,MATCH($H$30,'Registo Inscrições'!$A:$A,0)),"")</f>
        <v>1</v>
      </c>
      <c r="D47" s="19">
        <f>IFERROR(INDEX('Registo Inscrições'!O:O,MATCH($H$30,'Registo Inscrições'!$A:$A,0)),"")</f>
        <v>40000</v>
      </c>
      <c r="E47" s="20">
        <f>IF(OR(C47="",D47=""),0,C47*D47)</f>
        <v>40000</v>
      </c>
      <c r="F47" s="9"/>
      <c r="G47" s="9"/>
      <c r="H47" s="9"/>
      <c r="I47" s="9"/>
      <c r="J47" s="9"/>
      <c r="K47" s="9"/>
      <c r="L47" s="9"/>
    </row>
    <row r="48" spans="1:12" ht="12" customHeight="1" x14ac:dyDescent="0.25">
      <c r="A48" s="9"/>
      <c r="B48" s="17" t="s">
        <v>89</v>
      </c>
      <c r="C48" s="21"/>
      <c r="D48" s="21"/>
      <c r="E48" s="19">
        <f>IFERROR(-ABS(INDEX('Registo Inscrições'!P:P,MATCH($H$30,'Registo Inscrições'!$A:$A,0))),0)</f>
        <v>0</v>
      </c>
      <c r="F48" s="9"/>
      <c r="G48" s="9"/>
      <c r="H48" s="9"/>
      <c r="I48" s="9"/>
      <c r="J48" s="9"/>
      <c r="K48" s="9"/>
      <c r="L48" s="9"/>
    </row>
    <row r="49" spans="1:12" ht="13.5" customHeight="1" x14ac:dyDescent="0.25">
      <c r="A49" s="9"/>
      <c r="B49" s="64" t="s">
        <v>90</v>
      </c>
      <c r="C49" s="64"/>
      <c r="D49" s="64"/>
      <c r="E49" s="22">
        <f>SUM(E45:E48)</f>
        <v>220000</v>
      </c>
      <c r="F49" s="9"/>
      <c r="G49" s="9"/>
      <c r="H49" s="9"/>
      <c r="I49" s="9"/>
      <c r="J49" s="9"/>
      <c r="K49" s="9"/>
      <c r="L49" s="9"/>
    </row>
    <row r="50" spans="1:12" ht="12" customHeight="1" x14ac:dyDescent="0.25">
      <c r="A50" s="9"/>
      <c r="B50" s="23" t="s">
        <v>91</v>
      </c>
      <c r="C50" s="60" t="str">
        <f>IFERROR("☐ Numerário    ☐ Transferência Bancária    ☐ Outro: "&amp;INDEX('Registo Inscrições'!Q:Q,MATCH($H$30,'Registo Inscrições'!$A:$A,0)),"☐ Numerário    ☐ Transferência Bancária    ☐ Outro: ")</f>
        <v xml:space="preserve">☐ Numerário    ☐ Transferência Bancária    ☐ Outro: </v>
      </c>
      <c r="D50" s="60"/>
      <c r="E50" s="60"/>
      <c r="F50" s="9"/>
      <c r="G50" s="9"/>
      <c r="H50" s="9"/>
      <c r="I50" s="9"/>
      <c r="J50" s="9"/>
      <c r="K50" s="9"/>
      <c r="L50" s="9"/>
    </row>
    <row r="51" spans="1:12" ht="12" customHeight="1" x14ac:dyDescent="0.25">
      <c r="A51" s="9"/>
      <c r="B51" s="23" t="s">
        <v>92</v>
      </c>
      <c r="C51" s="60">
        <f>IFERROR(INDEX('Registo Inscrições'!R:R,MATCH($H$30,'Registo Inscrições'!$A:$A,0)),"")</f>
        <v>0</v>
      </c>
      <c r="D51" s="60"/>
      <c r="E51" s="60"/>
      <c r="F51" s="9"/>
      <c r="G51" s="9"/>
      <c r="H51" s="9"/>
      <c r="I51" s="9"/>
      <c r="J51" s="9"/>
      <c r="K51" s="9"/>
      <c r="L51" s="9"/>
    </row>
    <row r="52" spans="1:12" ht="28.5" customHeight="1" x14ac:dyDescent="0.25">
      <c r="A52" s="9"/>
      <c r="B52" s="61" t="s">
        <v>192</v>
      </c>
      <c r="C52" s="61"/>
      <c r="D52" s="61"/>
      <c r="E52" s="61"/>
      <c r="F52" s="9"/>
      <c r="G52" s="9"/>
      <c r="H52" s="9"/>
      <c r="I52" s="9"/>
      <c r="J52" s="9"/>
      <c r="K52" s="9"/>
      <c r="L52" s="9"/>
    </row>
    <row r="53" spans="1:12" ht="10.5" customHeight="1" x14ac:dyDescent="0.25">
      <c r="A53" s="9"/>
      <c r="B53" s="24" t="s">
        <v>93</v>
      </c>
      <c r="C53" s="9"/>
      <c r="D53" s="24" t="s">
        <v>78</v>
      </c>
      <c r="E53" s="9"/>
      <c r="F53" s="9"/>
      <c r="G53" s="9"/>
      <c r="H53" s="9"/>
      <c r="I53" s="9"/>
      <c r="J53" s="9"/>
      <c r="K53" s="9"/>
      <c r="L53" s="9"/>
    </row>
    <row r="54" spans="1:12" ht="10.5" customHeight="1" x14ac:dyDescent="0.25">
      <c r="A54" s="9"/>
      <c r="B54" s="27" t="s">
        <v>94</v>
      </c>
      <c r="C54" s="9"/>
      <c r="D54" s="27" t="s">
        <v>94</v>
      </c>
      <c r="E54" s="9"/>
      <c r="F54" s="9"/>
      <c r="G54" s="9"/>
      <c r="H54" s="9"/>
      <c r="I54" s="9"/>
      <c r="J54" s="9"/>
      <c r="K54" s="9"/>
      <c r="L54" s="9"/>
    </row>
    <row r="55" spans="1:12" ht="10.5" customHeight="1" x14ac:dyDescent="0.25">
      <c r="A55" s="9"/>
      <c r="B55" s="27" t="s">
        <v>95</v>
      </c>
      <c r="C55" s="9"/>
      <c r="D55" s="27" t="s">
        <v>96</v>
      </c>
      <c r="E55" s="9"/>
      <c r="F55" s="9"/>
      <c r="G55" s="9"/>
      <c r="H55" s="9"/>
      <c r="I55" s="9"/>
      <c r="J55" s="9"/>
      <c r="K55" s="9"/>
      <c r="L55" s="9"/>
    </row>
    <row r="56" spans="1:12" ht="10.5" customHeight="1" x14ac:dyDescent="0.25">
      <c r="A56" s="9"/>
      <c r="B56" s="27" t="s">
        <v>97</v>
      </c>
      <c r="C56" s="9"/>
      <c r="D56" s="27" t="s">
        <v>97</v>
      </c>
      <c r="E56" s="9"/>
      <c r="F56" s="9"/>
      <c r="G56" s="9"/>
      <c r="H56" s="9"/>
      <c r="I56" s="9"/>
      <c r="J56" s="9"/>
      <c r="K56" s="9"/>
      <c r="L56" s="9"/>
    </row>
    <row r="57" spans="1:12" ht="9" customHeight="1" x14ac:dyDescent="0.25">
      <c r="A57" s="9"/>
      <c r="B57" s="62" t="s">
        <v>98</v>
      </c>
      <c r="C57" s="62"/>
      <c r="D57" s="62"/>
      <c r="E57" s="62"/>
      <c r="F57" s="9"/>
      <c r="G57" s="9"/>
      <c r="H57" s="9"/>
      <c r="I57" s="9"/>
      <c r="J57" s="9"/>
      <c r="K57" s="9"/>
      <c r="L57" s="9"/>
    </row>
    <row r="58" spans="1:12" ht="9" customHeight="1" x14ac:dyDescent="0.25">
      <c r="A58" s="9"/>
      <c r="B58" s="62" t="s">
        <v>99</v>
      </c>
      <c r="C58" s="62"/>
      <c r="D58" s="62"/>
      <c r="E58" s="62"/>
      <c r="F58" s="9"/>
      <c r="G58" s="9"/>
      <c r="H58" s="9"/>
      <c r="I58" s="9"/>
      <c r="J58" s="9"/>
      <c r="K58" s="9"/>
      <c r="L58" s="9"/>
    </row>
    <row r="59" spans="1:12" ht="1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1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1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1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1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1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</sheetData>
  <mergeCells count="35">
    <mergeCell ref="B2:E2"/>
    <mergeCell ref="B3:E3"/>
    <mergeCell ref="B4:E4"/>
    <mergeCell ref="B5:E5"/>
    <mergeCell ref="B7:E7"/>
    <mergeCell ref="C8:E8"/>
    <mergeCell ref="C9:E9"/>
    <mergeCell ref="C10:E10"/>
    <mergeCell ref="C11:E11"/>
    <mergeCell ref="C12:E12"/>
    <mergeCell ref="B13:E13"/>
    <mergeCell ref="B19:D19"/>
    <mergeCell ref="C20:E20"/>
    <mergeCell ref="C21:E21"/>
    <mergeCell ref="B22:E22"/>
    <mergeCell ref="B27:E27"/>
    <mergeCell ref="B28:E28"/>
    <mergeCell ref="B30:E30"/>
    <mergeCell ref="B32:E32"/>
    <mergeCell ref="B33:E33"/>
    <mergeCell ref="B34:E34"/>
    <mergeCell ref="B35:E35"/>
    <mergeCell ref="B37:E37"/>
    <mergeCell ref="C38:E38"/>
    <mergeCell ref="C39:E39"/>
    <mergeCell ref="C40:E40"/>
    <mergeCell ref="C41:E41"/>
    <mergeCell ref="C42:E42"/>
    <mergeCell ref="B43:E43"/>
    <mergeCell ref="B49:D49"/>
    <mergeCell ref="C50:E50"/>
    <mergeCell ref="C51:E51"/>
    <mergeCell ref="B52:E52"/>
    <mergeCell ref="B57:E57"/>
    <mergeCell ref="B58:E58"/>
  </mergeCells>
  <printOptions horizontalCentered="1" verticalCentered="1"/>
  <pageMargins left="0.35" right="0.35" top="0.25" bottom="0.2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tabSelected="1" zoomScaleNormal="100" workbookViewId="0">
      <pane ySplit="3" topLeftCell="A4" activePane="bottomLeft" state="frozen"/>
      <selection pane="bottomLeft" activeCell="B20" sqref="B20"/>
    </sheetView>
  </sheetViews>
  <sheetFormatPr defaultColWidth="8.7109375" defaultRowHeight="15" x14ac:dyDescent="0.25"/>
  <cols>
    <col min="1" max="2" width="12" style="1" customWidth="1"/>
    <col min="3" max="3" width="44.7109375" style="1" customWidth="1"/>
    <col min="4" max="4" width="12" style="1" customWidth="1"/>
    <col min="5" max="5" width="16" style="1" customWidth="1"/>
    <col min="6" max="6" width="32.5703125" style="1" customWidth="1"/>
    <col min="7" max="7" width="26" style="1" customWidth="1"/>
    <col min="8" max="8" width="18" style="1" customWidth="1"/>
    <col min="9" max="9" width="10" style="1" customWidth="1"/>
  </cols>
  <sheetData>
    <row r="1" spans="1:9" ht="25.5" customHeight="1" x14ac:dyDescent="0.25">
      <c r="A1" s="69" t="s">
        <v>102</v>
      </c>
      <c r="B1" s="69"/>
      <c r="C1" s="69"/>
      <c r="D1" s="69"/>
      <c r="E1" s="69"/>
      <c r="F1" s="69"/>
      <c r="G1" s="69"/>
      <c r="H1" s="69"/>
      <c r="I1" s="69"/>
    </row>
    <row r="2" spans="1:9" ht="15" customHeight="1" x14ac:dyDescent="0.25">
      <c r="A2" s="70" t="s">
        <v>103</v>
      </c>
      <c r="B2" s="70"/>
      <c r="C2" s="70"/>
      <c r="D2" s="70"/>
      <c r="E2" s="70"/>
      <c r="F2" s="70"/>
      <c r="G2" s="70"/>
      <c r="H2" s="70"/>
      <c r="I2" s="70"/>
    </row>
    <row r="3" spans="1:9" ht="27.75" customHeight="1" x14ac:dyDescent="0.25">
      <c r="A3" s="31" t="s">
        <v>1</v>
      </c>
      <c r="B3" s="31" t="s">
        <v>2</v>
      </c>
      <c r="C3" s="31" t="s">
        <v>82</v>
      </c>
      <c r="D3" s="31" t="s">
        <v>104</v>
      </c>
      <c r="E3" s="31" t="s">
        <v>105</v>
      </c>
      <c r="F3" s="31" t="s">
        <v>106</v>
      </c>
      <c r="G3" s="31" t="s">
        <v>107</v>
      </c>
      <c r="H3" s="31" t="s">
        <v>18</v>
      </c>
      <c r="I3" s="31" t="s">
        <v>19</v>
      </c>
    </row>
    <row r="4" spans="1:9" ht="15" customHeight="1" x14ac:dyDescent="0.25">
      <c r="A4" s="32" t="s">
        <v>108</v>
      </c>
      <c r="B4" s="33">
        <v>46240</v>
      </c>
      <c r="C4" s="34" t="s">
        <v>109</v>
      </c>
      <c r="D4" s="35">
        <v>44000</v>
      </c>
      <c r="E4" s="34" t="s">
        <v>110</v>
      </c>
      <c r="F4" s="34" t="s">
        <v>111</v>
      </c>
      <c r="G4" s="34" t="s">
        <v>112</v>
      </c>
      <c r="H4" s="34"/>
      <c r="I4" s="36" t="str">
        <f t="shared" ref="I4:I35" si="0">IF(C4="","",IF(B4="","Pendente","Emitido"))</f>
        <v>Emitido</v>
      </c>
    </row>
    <row r="5" spans="1:9" ht="15" customHeight="1" x14ac:dyDescent="0.25">
      <c r="A5" s="32" t="s">
        <v>113</v>
      </c>
      <c r="B5" s="33">
        <v>46240</v>
      </c>
      <c r="C5" s="34" t="s">
        <v>114</v>
      </c>
      <c r="D5" s="35">
        <v>2000</v>
      </c>
      <c r="E5" s="34" t="s">
        <v>110</v>
      </c>
      <c r="F5" s="34" t="s">
        <v>111</v>
      </c>
      <c r="G5" s="34" t="s">
        <v>112</v>
      </c>
      <c r="H5" s="34"/>
      <c r="I5" s="36" t="str">
        <f t="shared" si="0"/>
        <v>Emitido</v>
      </c>
    </row>
    <row r="6" spans="1:9" ht="15" customHeight="1" x14ac:dyDescent="0.25">
      <c r="A6" s="32" t="s">
        <v>115</v>
      </c>
      <c r="B6" s="33">
        <v>46242</v>
      </c>
      <c r="C6" s="34" t="s">
        <v>116</v>
      </c>
      <c r="D6" s="35">
        <v>10000</v>
      </c>
      <c r="E6" s="34" t="s">
        <v>117</v>
      </c>
      <c r="F6" s="34" t="s">
        <v>111</v>
      </c>
      <c r="G6" s="34" t="s">
        <v>112</v>
      </c>
      <c r="H6" s="34"/>
      <c r="I6" s="36" t="str">
        <f t="shared" si="0"/>
        <v>Emitido</v>
      </c>
    </row>
    <row r="7" spans="1:9" ht="15" customHeight="1" x14ac:dyDescent="0.25">
      <c r="A7" s="32" t="s">
        <v>118</v>
      </c>
      <c r="B7" s="33">
        <v>46242</v>
      </c>
      <c r="C7" s="34" t="s">
        <v>119</v>
      </c>
      <c r="D7" s="35">
        <v>1000</v>
      </c>
      <c r="E7" s="34" t="s">
        <v>120</v>
      </c>
      <c r="F7" s="34" t="s">
        <v>111</v>
      </c>
      <c r="G7" s="34" t="s">
        <v>112</v>
      </c>
      <c r="H7" s="34"/>
      <c r="I7" s="36" t="str">
        <f t="shared" si="0"/>
        <v>Emitido</v>
      </c>
    </row>
    <row r="8" spans="1:9" ht="15" customHeight="1" x14ac:dyDescent="0.25">
      <c r="A8" s="32" t="s">
        <v>121</v>
      </c>
      <c r="B8" s="33">
        <v>46242</v>
      </c>
      <c r="C8" s="34" t="s">
        <v>122</v>
      </c>
      <c r="D8" s="35">
        <v>4000</v>
      </c>
      <c r="E8" s="34" t="s">
        <v>110</v>
      </c>
      <c r="F8" s="34" t="s">
        <v>111</v>
      </c>
      <c r="G8" s="34" t="s">
        <v>112</v>
      </c>
      <c r="H8" s="34"/>
      <c r="I8" s="36" t="str">
        <f t="shared" si="0"/>
        <v>Emitido</v>
      </c>
    </row>
    <row r="9" spans="1:9" ht="15" customHeight="1" x14ac:dyDescent="0.25">
      <c r="A9" s="32" t="s">
        <v>123</v>
      </c>
      <c r="B9" s="33">
        <v>46242</v>
      </c>
      <c r="C9" s="34" t="s">
        <v>124</v>
      </c>
      <c r="D9" s="35">
        <v>2000</v>
      </c>
      <c r="E9" s="34" t="s">
        <v>125</v>
      </c>
      <c r="F9" s="34" t="s">
        <v>111</v>
      </c>
      <c r="G9" s="34" t="s">
        <v>112</v>
      </c>
      <c r="H9" s="34"/>
      <c r="I9" s="36" t="str">
        <f t="shared" si="0"/>
        <v>Emitido</v>
      </c>
    </row>
    <row r="10" spans="1:9" ht="15" customHeight="1" x14ac:dyDescent="0.25">
      <c r="A10" s="32" t="s">
        <v>126</v>
      </c>
      <c r="B10" s="33">
        <v>46242</v>
      </c>
      <c r="C10" s="34" t="s">
        <v>127</v>
      </c>
      <c r="D10" s="35">
        <v>3000</v>
      </c>
      <c r="E10" s="34" t="s">
        <v>117</v>
      </c>
      <c r="F10" s="34" t="s">
        <v>111</v>
      </c>
      <c r="G10" s="34" t="s">
        <v>112</v>
      </c>
      <c r="H10" s="34"/>
      <c r="I10" s="36" t="str">
        <f t="shared" si="0"/>
        <v>Emitido</v>
      </c>
    </row>
    <row r="11" spans="1:9" ht="15" customHeight="1" x14ac:dyDescent="0.25">
      <c r="A11" s="32" t="s">
        <v>128</v>
      </c>
      <c r="B11" s="33">
        <v>46243</v>
      </c>
      <c r="C11" s="34" t="s">
        <v>129</v>
      </c>
      <c r="D11" s="35">
        <v>2400</v>
      </c>
      <c r="E11" s="34" t="s">
        <v>110</v>
      </c>
      <c r="F11" s="34" t="s">
        <v>111</v>
      </c>
      <c r="G11" s="34" t="s">
        <v>112</v>
      </c>
      <c r="H11" s="34"/>
      <c r="I11" s="36" t="str">
        <f t="shared" si="0"/>
        <v>Emitido</v>
      </c>
    </row>
    <row r="12" spans="1:9" ht="15" customHeight="1" x14ac:dyDescent="0.25">
      <c r="A12" s="32" t="s">
        <v>130</v>
      </c>
      <c r="B12" s="33">
        <v>46245</v>
      </c>
      <c r="C12" s="34" t="s">
        <v>131</v>
      </c>
      <c r="D12" s="35">
        <v>2000</v>
      </c>
      <c r="E12" s="34" t="s">
        <v>132</v>
      </c>
      <c r="F12" s="34" t="s">
        <v>111</v>
      </c>
      <c r="G12" s="34" t="s">
        <v>112</v>
      </c>
      <c r="H12" s="34"/>
      <c r="I12" s="36" t="str">
        <f t="shared" si="0"/>
        <v>Emitido</v>
      </c>
    </row>
    <row r="13" spans="1:9" ht="15" customHeight="1" x14ac:dyDescent="0.25">
      <c r="A13" s="32" t="s">
        <v>133</v>
      </c>
      <c r="B13" s="33">
        <v>46245</v>
      </c>
      <c r="C13" s="34" t="s">
        <v>134</v>
      </c>
      <c r="D13" s="35">
        <v>6000</v>
      </c>
      <c r="E13" s="34" t="s">
        <v>110</v>
      </c>
      <c r="F13" s="34" t="s">
        <v>111</v>
      </c>
      <c r="G13" s="34" t="s">
        <v>112</v>
      </c>
      <c r="H13" s="34"/>
      <c r="I13" s="36" t="str">
        <f t="shared" si="0"/>
        <v>Emitido</v>
      </c>
    </row>
    <row r="14" spans="1:9" ht="15" customHeight="1" x14ac:dyDescent="0.25">
      <c r="A14" s="32" t="s">
        <v>135</v>
      </c>
      <c r="B14" s="33">
        <v>46251</v>
      </c>
      <c r="C14" s="34" t="s">
        <v>136</v>
      </c>
      <c r="D14" s="35">
        <v>18000</v>
      </c>
      <c r="E14" s="34" t="s">
        <v>110</v>
      </c>
      <c r="F14" s="34" t="s">
        <v>111</v>
      </c>
      <c r="G14" s="34" t="s">
        <v>112</v>
      </c>
      <c r="H14" s="34" t="s">
        <v>137</v>
      </c>
      <c r="I14" s="36" t="str">
        <f t="shared" si="0"/>
        <v>Emitido</v>
      </c>
    </row>
    <row r="15" spans="1:9" ht="15" customHeight="1" x14ac:dyDescent="0.25">
      <c r="A15" s="32" t="s">
        <v>138</v>
      </c>
      <c r="B15" s="33">
        <v>46251</v>
      </c>
      <c r="C15" s="34" t="s">
        <v>139</v>
      </c>
      <c r="D15" s="35">
        <v>2000</v>
      </c>
      <c r="E15" s="34" t="s">
        <v>120</v>
      </c>
      <c r="F15" s="34" t="s">
        <v>111</v>
      </c>
      <c r="G15" s="34" t="s">
        <v>112</v>
      </c>
      <c r="H15" s="34"/>
      <c r="I15" s="36" t="str">
        <f t="shared" si="0"/>
        <v>Emitido</v>
      </c>
    </row>
    <row r="16" spans="1:9" ht="15" customHeight="1" x14ac:dyDescent="0.25">
      <c r="A16" s="32" t="s">
        <v>140</v>
      </c>
      <c r="B16" s="33">
        <v>46251</v>
      </c>
      <c r="C16" s="34" t="s">
        <v>141</v>
      </c>
      <c r="D16" s="35">
        <v>8750</v>
      </c>
      <c r="E16" s="34" t="s">
        <v>120</v>
      </c>
      <c r="F16" s="34" t="s">
        <v>111</v>
      </c>
      <c r="G16" s="34" t="s">
        <v>112</v>
      </c>
      <c r="H16" s="34" t="s">
        <v>142</v>
      </c>
      <c r="I16" s="36" t="str">
        <f t="shared" si="0"/>
        <v>Emitido</v>
      </c>
    </row>
    <row r="17" spans="1:9" ht="15" customHeight="1" x14ac:dyDescent="0.25">
      <c r="A17" s="32" t="s">
        <v>143</v>
      </c>
      <c r="B17" s="33">
        <v>46251</v>
      </c>
      <c r="C17" s="34" t="s">
        <v>144</v>
      </c>
      <c r="D17" s="35">
        <v>1250</v>
      </c>
      <c r="E17" s="34" t="s">
        <v>120</v>
      </c>
      <c r="F17" s="34" t="s">
        <v>111</v>
      </c>
      <c r="G17" s="34" t="s">
        <v>112</v>
      </c>
      <c r="H17" s="34"/>
      <c r="I17" s="36" t="str">
        <f t="shared" si="0"/>
        <v>Emitido</v>
      </c>
    </row>
    <row r="18" spans="1:9" ht="15" customHeight="1" x14ac:dyDescent="0.25">
      <c r="A18" s="32" t="s">
        <v>145</v>
      </c>
      <c r="B18" s="33">
        <v>46251</v>
      </c>
      <c r="C18" s="34" t="s">
        <v>146</v>
      </c>
      <c r="D18" s="35">
        <v>7000</v>
      </c>
      <c r="E18" s="34" t="s">
        <v>147</v>
      </c>
      <c r="F18" s="34" t="s">
        <v>111</v>
      </c>
      <c r="G18" s="34" t="s">
        <v>112</v>
      </c>
      <c r="H18" s="34"/>
      <c r="I18" s="36" t="str">
        <f t="shared" si="0"/>
        <v>Emitido</v>
      </c>
    </row>
    <row r="19" spans="1:9" ht="15" customHeight="1" x14ac:dyDescent="0.25">
      <c r="A19" s="32" t="s">
        <v>148</v>
      </c>
      <c r="B19" s="33">
        <v>46251</v>
      </c>
      <c r="C19" s="34" t="s">
        <v>134</v>
      </c>
      <c r="D19" s="35">
        <v>6000</v>
      </c>
      <c r="E19" s="34" t="s">
        <v>110</v>
      </c>
      <c r="F19" s="34" t="s">
        <v>111</v>
      </c>
      <c r="G19" s="34" t="s">
        <v>112</v>
      </c>
      <c r="H19" s="34"/>
      <c r="I19" s="36" t="str">
        <f t="shared" si="0"/>
        <v>Emitido</v>
      </c>
    </row>
    <row r="20" spans="1:9" ht="15" customHeight="1" x14ac:dyDescent="0.25">
      <c r="A20" s="32" t="s">
        <v>193</v>
      </c>
      <c r="B20" s="33"/>
      <c r="C20" s="34"/>
      <c r="D20" s="35"/>
      <c r="E20" s="34"/>
      <c r="F20" s="34"/>
      <c r="G20" s="34"/>
      <c r="H20" s="34"/>
      <c r="I20" s="36" t="str">
        <f t="shared" si="0"/>
        <v/>
      </c>
    </row>
    <row r="21" spans="1:9" ht="15" customHeight="1" x14ac:dyDescent="0.25">
      <c r="A21" s="32" t="s">
        <v>194</v>
      </c>
      <c r="B21" s="33"/>
      <c r="C21" s="34"/>
      <c r="D21" s="35"/>
      <c r="E21" s="34"/>
      <c r="F21" s="34"/>
      <c r="G21" s="34"/>
      <c r="H21" s="34"/>
      <c r="I21" s="36" t="str">
        <f t="shared" si="0"/>
        <v/>
      </c>
    </row>
    <row r="22" spans="1:9" ht="15" customHeight="1" x14ac:dyDescent="0.25">
      <c r="A22" s="32" t="s">
        <v>195</v>
      </c>
      <c r="B22" s="37"/>
      <c r="C22" s="37"/>
      <c r="D22" s="37"/>
      <c r="E22" s="37"/>
      <c r="F22" s="37"/>
      <c r="G22" s="37"/>
      <c r="H22" s="37"/>
      <c r="I22" s="36" t="str">
        <f t="shared" si="0"/>
        <v/>
      </c>
    </row>
    <row r="23" spans="1:9" ht="15" customHeight="1" x14ac:dyDescent="0.25">
      <c r="A23" s="36" t="str">
        <f>IF(C23="","","RM-"&amp;TEXT(COUNTA($C$4:C23),"000"))</f>
        <v/>
      </c>
      <c r="B23" s="37"/>
      <c r="C23" s="37"/>
      <c r="D23" s="37"/>
      <c r="E23" s="37"/>
      <c r="F23" s="37"/>
      <c r="G23" s="37"/>
      <c r="H23" s="37"/>
      <c r="I23" s="36" t="str">
        <f t="shared" si="0"/>
        <v/>
      </c>
    </row>
    <row r="24" spans="1:9" ht="15" customHeight="1" x14ac:dyDescent="0.25">
      <c r="A24" s="36" t="str">
        <f>IF(C24="","","RM-"&amp;TEXT(COUNTA($C$4:C24),"000"))</f>
        <v/>
      </c>
      <c r="B24" s="37"/>
      <c r="C24" s="37"/>
      <c r="D24" s="37"/>
      <c r="E24" s="37"/>
      <c r="F24" s="37"/>
      <c r="G24" s="37"/>
      <c r="H24" s="37"/>
      <c r="I24" s="36" t="str">
        <f t="shared" si="0"/>
        <v/>
      </c>
    </row>
    <row r="25" spans="1:9" ht="15" customHeight="1" x14ac:dyDescent="0.25">
      <c r="A25" s="36" t="str">
        <f>IF(C25="","","RM-"&amp;TEXT(COUNTA($C$4:C25),"000"))</f>
        <v/>
      </c>
      <c r="B25" s="37"/>
      <c r="C25" s="37"/>
      <c r="D25" s="37"/>
      <c r="E25" s="37"/>
      <c r="F25" s="37"/>
      <c r="G25" s="37"/>
      <c r="H25" s="37"/>
      <c r="I25" s="36" t="str">
        <f t="shared" si="0"/>
        <v/>
      </c>
    </row>
    <row r="26" spans="1:9" ht="15" customHeight="1" x14ac:dyDescent="0.25">
      <c r="A26" s="36" t="str">
        <f>IF(C26="","","RM-"&amp;TEXT(COUNTA($C$4:C26),"000"))</f>
        <v/>
      </c>
      <c r="B26" s="37"/>
      <c r="C26" s="37"/>
      <c r="D26" s="37"/>
      <c r="E26" s="37"/>
      <c r="F26" s="37"/>
      <c r="G26" s="37"/>
      <c r="H26" s="37"/>
      <c r="I26" s="36" t="str">
        <f t="shared" si="0"/>
        <v/>
      </c>
    </row>
    <row r="27" spans="1:9" ht="15" customHeight="1" x14ac:dyDescent="0.25">
      <c r="A27" s="36" t="str">
        <f>IF(C27="","","RM-"&amp;TEXT(COUNTA($C$4:C27),"000"))</f>
        <v/>
      </c>
      <c r="B27" s="37"/>
      <c r="C27" s="37"/>
      <c r="D27" s="37"/>
      <c r="E27" s="37"/>
      <c r="F27" s="37"/>
      <c r="G27" s="37"/>
      <c r="H27" s="37"/>
      <c r="I27" s="36" t="str">
        <f t="shared" si="0"/>
        <v/>
      </c>
    </row>
    <row r="28" spans="1:9" ht="15" customHeight="1" x14ac:dyDescent="0.25">
      <c r="A28" s="36" t="str">
        <f>IF(C28="","","RM-"&amp;TEXT(COUNTA($C$4:C28),"000"))</f>
        <v/>
      </c>
      <c r="B28" s="37"/>
      <c r="C28" s="37"/>
      <c r="D28" s="37"/>
      <c r="E28" s="37"/>
      <c r="F28" s="37"/>
      <c r="G28" s="37"/>
      <c r="H28" s="37"/>
      <c r="I28" s="36" t="str">
        <f t="shared" si="0"/>
        <v/>
      </c>
    </row>
    <row r="29" spans="1:9" ht="15" customHeight="1" x14ac:dyDescent="0.25">
      <c r="A29" s="36" t="str">
        <f>IF(C29="","","RM-"&amp;TEXT(COUNTA($C$4:C29),"000"))</f>
        <v/>
      </c>
      <c r="B29" s="37"/>
      <c r="C29" s="37"/>
      <c r="D29" s="37"/>
      <c r="E29" s="37"/>
      <c r="F29" s="37"/>
      <c r="G29" s="37"/>
      <c r="H29" s="37"/>
      <c r="I29" s="36" t="str">
        <f t="shared" si="0"/>
        <v/>
      </c>
    </row>
    <row r="30" spans="1:9" ht="15" customHeight="1" x14ac:dyDescent="0.25">
      <c r="A30" s="36" t="str">
        <f>IF(C30="","","RM-"&amp;TEXT(COUNTA($C$4:C30),"000"))</f>
        <v/>
      </c>
      <c r="B30" s="37"/>
      <c r="C30" s="37"/>
      <c r="D30" s="37"/>
      <c r="E30" s="37"/>
      <c r="F30" s="37"/>
      <c r="G30" s="37"/>
      <c r="H30" s="37"/>
      <c r="I30" s="36" t="str">
        <f t="shared" si="0"/>
        <v/>
      </c>
    </row>
    <row r="31" spans="1:9" ht="15" customHeight="1" x14ac:dyDescent="0.25">
      <c r="A31" s="36" t="str">
        <f>IF(C31="","","RM-"&amp;TEXT(COUNTA($C$4:C31),"000"))</f>
        <v/>
      </c>
      <c r="B31" s="37"/>
      <c r="C31" s="37"/>
      <c r="D31" s="37"/>
      <c r="E31" s="37"/>
      <c r="F31" s="37"/>
      <c r="G31" s="37"/>
      <c r="H31" s="37"/>
      <c r="I31" s="36" t="str">
        <f t="shared" si="0"/>
        <v/>
      </c>
    </row>
    <row r="32" spans="1:9" ht="15" customHeight="1" x14ac:dyDescent="0.25">
      <c r="A32" s="36" t="str">
        <f>IF(C32="","","RM-"&amp;TEXT(COUNTA($C$4:C32),"000"))</f>
        <v/>
      </c>
      <c r="B32" s="37"/>
      <c r="C32" s="37"/>
      <c r="D32" s="37"/>
      <c r="E32" s="37"/>
      <c r="F32" s="37"/>
      <c r="G32" s="37"/>
      <c r="H32" s="37"/>
      <c r="I32" s="36" t="str">
        <f t="shared" si="0"/>
        <v/>
      </c>
    </row>
    <row r="33" spans="1:9" ht="15" customHeight="1" x14ac:dyDescent="0.25">
      <c r="A33" s="36" t="str">
        <f>IF(C33="","","RM-"&amp;TEXT(COUNTA($C$4:C33),"000"))</f>
        <v/>
      </c>
      <c r="B33" s="37"/>
      <c r="C33" s="37"/>
      <c r="D33" s="37"/>
      <c r="E33" s="37"/>
      <c r="F33" s="37"/>
      <c r="G33" s="37"/>
      <c r="H33" s="37"/>
      <c r="I33" s="36" t="str">
        <f t="shared" si="0"/>
        <v/>
      </c>
    </row>
    <row r="34" spans="1:9" ht="15" customHeight="1" x14ac:dyDescent="0.25">
      <c r="A34" s="36" t="str">
        <f>IF(C34="","","RM-"&amp;TEXT(COUNTA($C$4:C34),"000"))</f>
        <v/>
      </c>
      <c r="B34" s="37"/>
      <c r="C34" s="37"/>
      <c r="D34" s="37"/>
      <c r="E34" s="37"/>
      <c r="F34" s="37"/>
      <c r="G34" s="37"/>
      <c r="H34" s="37"/>
      <c r="I34" s="36" t="str">
        <f t="shared" si="0"/>
        <v/>
      </c>
    </row>
    <row r="35" spans="1:9" ht="15" customHeight="1" x14ac:dyDescent="0.25">
      <c r="A35" s="36" t="str">
        <f>IF(C35="","","RM-"&amp;TEXT(COUNTA($C$4:C35),"000"))</f>
        <v/>
      </c>
      <c r="B35" s="37"/>
      <c r="C35" s="37"/>
      <c r="D35" s="37"/>
      <c r="E35" s="37"/>
      <c r="F35" s="37"/>
      <c r="G35" s="37"/>
      <c r="H35" s="37"/>
      <c r="I35" s="36" t="str">
        <f t="shared" si="0"/>
        <v/>
      </c>
    </row>
    <row r="36" spans="1:9" ht="15" customHeight="1" x14ac:dyDescent="0.25">
      <c r="A36" s="36" t="str">
        <f>IF(C36="","","RM-"&amp;TEXT(COUNTA($C$4:C36),"000"))</f>
        <v/>
      </c>
      <c r="B36" s="37"/>
      <c r="C36" s="37"/>
      <c r="D36" s="37"/>
      <c r="E36" s="37"/>
      <c r="F36" s="37"/>
      <c r="G36" s="37"/>
      <c r="H36" s="37"/>
      <c r="I36" s="36" t="str">
        <f t="shared" ref="I36:I53" si="1">IF(C36="","",IF(B36="","Pendente","Emitido"))</f>
        <v/>
      </c>
    </row>
    <row r="37" spans="1:9" ht="15" customHeight="1" x14ac:dyDescent="0.25">
      <c r="A37" s="36" t="str">
        <f>IF(C37="","","RM-"&amp;TEXT(COUNTA($C$4:C37),"000"))</f>
        <v/>
      </c>
      <c r="B37" s="37"/>
      <c r="C37" s="37"/>
      <c r="D37" s="37"/>
      <c r="E37" s="37"/>
      <c r="F37" s="37"/>
      <c r="G37" s="37"/>
      <c r="H37" s="37"/>
      <c r="I37" s="36" t="str">
        <f t="shared" si="1"/>
        <v/>
      </c>
    </row>
    <row r="38" spans="1:9" ht="15" customHeight="1" x14ac:dyDescent="0.25">
      <c r="A38" s="36" t="str">
        <f>IF(C38="","","RM-"&amp;TEXT(COUNTA($C$4:C38),"000"))</f>
        <v/>
      </c>
      <c r="B38" s="37"/>
      <c r="C38" s="37"/>
      <c r="D38" s="37"/>
      <c r="E38" s="37"/>
      <c r="F38" s="37"/>
      <c r="G38" s="37"/>
      <c r="H38" s="37"/>
      <c r="I38" s="36" t="str">
        <f t="shared" si="1"/>
        <v/>
      </c>
    </row>
    <row r="39" spans="1:9" ht="15" customHeight="1" x14ac:dyDescent="0.25">
      <c r="A39" s="36" t="str">
        <f>IF(C39="","","RM-"&amp;TEXT(COUNTA($C$4:C39),"000"))</f>
        <v/>
      </c>
      <c r="B39" s="37"/>
      <c r="C39" s="37"/>
      <c r="D39" s="37"/>
      <c r="E39" s="37"/>
      <c r="F39" s="37"/>
      <c r="G39" s="37"/>
      <c r="H39" s="37"/>
      <c r="I39" s="36" t="str">
        <f t="shared" si="1"/>
        <v/>
      </c>
    </row>
    <row r="40" spans="1:9" ht="15" customHeight="1" x14ac:dyDescent="0.25">
      <c r="A40" s="36" t="str">
        <f>IF(C40="","","RM-"&amp;TEXT(COUNTA($C$4:C40),"000"))</f>
        <v/>
      </c>
      <c r="B40" s="37"/>
      <c r="C40" s="37"/>
      <c r="D40" s="37"/>
      <c r="E40" s="37"/>
      <c r="F40" s="37"/>
      <c r="G40" s="37"/>
      <c r="H40" s="37"/>
      <c r="I40" s="36" t="str">
        <f t="shared" si="1"/>
        <v/>
      </c>
    </row>
    <row r="41" spans="1:9" ht="15" customHeight="1" x14ac:dyDescent="0.25">
      <c r="A41" s="36" t="str">
        <f>IF(C41="","","RM-"&amp;TEXT(COUNTA($C$4:C41),"000"))</f>
        <v/>
      </c>
      <c r="B41" s="37"/>
      <c r="C41" s="37"/>
      <c r="D41" s="37"/>
      <c r="E41" s="37"/>
      <c r="F41" s="37"/>
      <c r="G41" s="37"/>
      <c r="H41" s="37"/>
      <c r="I41" s="36" t="str">
        <f t="shared" si="1"/>
        <v/>
      </c>
    </row>
    <row r="42" spans="1:9" ht="15" customHeight="1" x14ac:dyDescent="0.25">
      <c r="A42" s="36" t="str">
        <f>IF(C42="","","RM-"&amp;TEXT(COUNTA($C$4:C42),"000"))</f>
        <v/>
      </c>
      <c r="B42" s="37"/>
      <c r="C42" s="37"/>
      <c r="D42" s="37"/>
      <c r="E42" s="37"/>
      <c r="F42" s="37"/>
      <c r="G42" s="37"/>
      <c r="H42" s="37"/>
      <c r="I42" s="36" t="str">
        <f t="shared" si="1"/>
        <v/>
      </c>
    </row>
    <row r="43" spans="1:9" ht="15" customHeight="1" x14ac:dyDescent="0.25">
      <c r="A43" s="36" t="str">
        <f>IF(C43="","","RM-"&amp;TEXT(COUNTA($C$4:C43),"000"))</f>
        <v/>
      </c>
      <c r="B43" s="37"/>
      <c r="C43" s="37"/>
      <c r="D43" s="37"/>
      <c r="E43" s="37"/>
      <c r="F43" s="37"/>
      <c r="G43" s="37"/>
      <c r="H43" s="37"/>
      <c r="I43" s="36" t="str">
        <f t="shared" si="1"/>
        <v/>
      </c>
    </row>
    <row r="44" spans="1:9" ht="15" customHeight="1" x14ac:dyDescent="0.25">
      <c r="A44" s="36" t="str">
        <f>IF(C44="","","RM-"&amp;TEXT(COUNTA($C$4:C44),"000"))</f>
        <v/>
      </c>
      <c r="B44" s="37"/>
      <c r="C44" s="37"/>
      <c r="D44" s="37"/>
      <c r="E44" s="37"/>
      <c r="F44" s="37"/>
      <c r="G44" s="37"/>
      <c r="H44" s="37"/>
      <c r="I44" s="36" t="str">
        <f t="shared" si="1"/>
        <v/>
      </c>
    </row>
    <row r="45" spans="1:9" ht="15" customHeight="1" x14ac:dyDescent="0.25">
      <c r="A45" s="36" t="str">
        <f>IF(C45="","","RM-"&amp;TEXT(COUNTA($C$4:C45),"000"))</f>
        <v/>
      </c>
      <c r="B45" s="37"/>
      <c r="C45" s="37"/>
      <c r="D45" s="37"/>
      <c r="E45" s="37"/>
      <c r="F45" s="37"/>
      <c r="G45" s="37"/>
      <c r="H45" s="37"/>
      <c r="I45" s="36" t="str">
        <f t="shared" si="1"/>
        <v/>
      </c>
    </row>
    <row r="46" spans="1:9" ht="15" customHeight="1" x14ac:dyDescent="0.25">
      <c r="A46" s="36" t="str">
        <f>IF(C46="","","RM-"&amp;TEXT(COUNTA($C$4:C46),"000"))</f>
        <v/>
      </c>
      <c r="B46" s="37"/>
      <c r="C46" s="37"/>
      <c r="D46" s="37"/>
      <c r="E46" s="37"/>
      <c r="F46" s="37"/>
      <c r="G46" s="37"/>
      <c r="H46" s="37"/>
      <c r="I46" s="36" t="str">
        <f t="shared" si="1"/>
        <v/>
      </c>
    </row>
    <row r="47" spans="1:9" ht="15" customHeight="1" x14ac:dyDescent="0.25">
      <c r="A47" s="36" t="str">
        <f>IF(C47="","","RM-"&amp;TEXT(COUNTA($C$4:C47),"000"))</f>
        <v/>
      </c>
      <c r="B47" s="37"/>
      <c r="C47" s="37"/>
      <c r="D47" s="37"/>
      <c r="E47" s="37"/>
      <c r="F47" s="37"/>
      <c r="G47" s="37"/>
      <c r="H47" s="37"/>
      <c r="I47" s="36" t="str">
        <f t="shared" si="1"/>
        <v/>
      </c>
    </row>
    <row r="48" spans="1:9" ht="15" customHeight="1" x14ac:dyDescent="0.25">
      <c r="A48" s="36" t="str">
        <f>IF(C48="","","RM-"&amp;TEXT(COUNTA($C$4:C48),"000"))</f>
        <v/>
      </c>
      <c r="B48" s="37"/>
      <c r="C48" s="37"/>
      <c r="D48" s="37"/>
      <c r="E48" s="37"/>
      <c r="F48" s="37"/>
      <c r="G48" s="37"/>
      <c r="H48" s="37"/>
      <c r="I48" s="36" t="str">
        <f t="shared" si="1"/>
        <v/>
      </c>
    </row>
    <row r="49" spans="1:9" ht="15" customHeight="1" x14ac:dyDescent="0.25">
      <c r="A49" s="36" t="str">
        <f>IF(C49="","","RM-"&amp;TEXT(COUNTA($C$4:C49),"000"))</f>
        <v/>
      </c>
      <c r="B49" s="37"/>
      <c r="C49" s="37"/>
      <c r="D49" s="37"/>
      <c r="E49" s="37"/>
      <c r="F49" s="37"/>
      <c r="G49" s="37"/>
      <c r="H49" s="37"/>
      <c r="I49" s="36" t="str">
        <f t="shared" si="1"/>
        <v/>
      </c>
    </row>
    <row r="50" spans="1:9" ht="15" customHeight="1" x14ac:dyDescent="0.25">
      <c r="A50" s="36" t="str">
        <f>IF(C50="","","RM-"&amp;TEXT(COUNTA($C$4:C50),"000"))</f>
        <v/>
      </c>
      <c r="B50" s="37"/>
      <c r="C50" s="37"/>
      <c r="D50" s="37"/>
      <c r="E50" s="37"/>
      <c r="F50" s="37"/>
      <c r="G50" s="37"/>
      <c r="H50" s="37"/>
      <c r="I50" s="36" t="str">
        <f t="shared" si="1"/>
        <v/>
      </c>
    </row>
    <row r="51" spans="1:9" ht="15" customHeight="1" x14ac:dyDescent="0.25">
      <c r="A51" s="36" t="str">
        <f>IF(C51="","","RM-"&amp;TEXT(COUNTA($C$4:C51),"000"))</f>
        <v/>
      </c>
      <c r="B51" s="37"/>
      <c r="C51" s="37"/>
      <c r="D51" s="37"/>
      <c r="E51" s="37"/>
      <c r="F51" s="37"/>
      <c r="G51" s="37"/>
      <c r="H51" s="37"/>
      <c r="I51" s="36" t="str">
        <f t="shared" si="1"/>
        <v/>
      </c>
    </row>
    <row r="52" spans="1:9" ht="15" customHeight="1" x14ac:dyDescent="0.25">
      <c r="A52" s="36" t="str">
        <f>IF(C52="","","RM-"&amp;TEXT(COUNTA($C$4:C52),"000"))</f>
        <v/>
      </c>
      <c r="B52" s="37"/>
      <c r="C52" s="37"/>
      <c r="D52" s="37"/>
      <c r="E52" s="37"/>
      <c r="F52" s="37"/>
      <c r="G52" s="37"/>
      <c r="H52" s="37"/>
      <c r="I52" s="36" t="str">
        <f t="shared" si="1"/>
        <v/>
      </c>
    </row>
    <row r="53" spans="1:9" ht="15" customHeight="1" x14ac:dyDescent="0.25">
      <c r="A53" s="36" t="str">
        <f>IF(C53="","","RM-"&amp;TEXT(COUNTA($C$4:C53),"000"))</f>
        <v/>
      </c>
      <c r="B53" s="37"/>
      <c r="C53" s="37"/>
      <c r="D53" s="37"/>
      <c r="E53" s="37"/>
      <c r="F53" s="37"/>
      <c r="G53" s="37"/>
      <c r="H53" s="37"/>
      <c r="I53" s="36" t="str">
        <f t="shared" si="1"/>
        <v/>
      </c>
    </row>
    <row r="54" spans="1:9" ht="15" customHeight="1" x14ac:dyDescent="0.25">
      <c r="A54" s="38" t="s">
        <v>149</v>
      </c>
      <c r="B54" s="39"/>
      <c r="C54" s="39"/>
      <c r="D54" s="40">
        <f>SUM(D4:D53)</f>
        <v>119400</v>
      </c>
      <c r="E54" s="39"/>
      <c r="F54" s="39"/>
      <c r="G54" s="39"/>
      <c r="H54" s="39"/>
      <c r="I54" s="39"/>
    </row>
  </sheetData>
  <autoFilter ref="A3:I53" xr:uid="{00000000-0009-0000-0000-000002000000}"/>
  <mergeCells count="2">
    <mergeCell ref="A1:I1"/>
    <mergeCell ref="A2:I2"/>
  </mergeCells>
  <phoneticPr fontId="36" type="noConversion"/>
  <pageMargins left="0.5" right="0.5" top="0.5" bottom="0.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80"/>
  <sheetViews>
    <sheetView topLeftCell="A10" zoomScaleNormal="100" workbookViewId="0">
      <selection activeCell="E38" sqref="E38"/>
    </sheetView>
  </sheetViews>
  <sheetFormatPr defaultColWidth="8.7109375" defaultRowHeight="15" x14ac:dyDescent="0.25"/>
  <cols>
    <col min="1" max="1" width="13" style="1" customWidth="1"/>
    <col min="2" max="2" width="20" style="1" customWidth="1"/>
    <col min="3" max="3" width="3" style="1" customWidth="1"/>
    <col min="4" max="4" width="11" style="1" customWidth="1"/>
    <col min="5" max="5" width="20" style="1" customWidth="1"/>
    <col min="6" max="6" width="8" style="1" customWidth="1"/>
  </cols>
  <sheetData>
    <row r="1" spans="1:8" ht="12.75" customHeight="1" x14ac:dyDescent="0.25">
      <c r="A1" s="79" t="s">
        <v>68</v>
      </c>
      <c r="B1" s="79"/>
      <c r="C1" s="79"/>
      <c r="D1" s="79"/>
      <c r="E1" s="79"/>
      <c r="F1" s="79"/>
      <c r="G1" s="41"/>
      <c r="H1" s="41"/>
    </row>
    <row r="2" spans="1:8" ht="12.75" customHeight="1" x14ac:dyDescent="0.25">
      <c r="A2" s="76" t="s">
        <v>150</v>
      </c>
      <c r="B2" s="76"/>
      <c r="C2" s="76"/>
      <c r="D2" s="76"/>
      <c r="E2" s="76"/>
      <c r="F2" s="76"/>
      <c r="G2" s="41"/>
      <c r="H2" s="41"/>
    </row>
    <row r="3" spans="1:8" ht="12.75" customHeight="1" x14ac:dyDescent="0.25">
      <c r="A3" s="77" t="s">
        <v>151</v>
      </c>
      <c r="B3" s="77"/>
      <c r="C3" s="77"/>
      <c r="D3" s="77"/>
      <c r="E3" s="77"/>
      <c r="F3" s="77"/>
      <c r="G3" s="41"/>
      <c r="H3" s="41"/>
    </row>
    <row r="4" spans="1:8" ht="12.75" customHeight="1" x14ac:dyDescent="0.25">
      <c r="A4" s="23" t="s">
        <v>152</v>
      </c>
      <c r="B4" s="42" t="s">
        <v>145</v>
      </c>
      <c r="C4" s="41"/>
      <c r="D4" s="23" t="s">
        <v>153</v>
      </c>
      <c r="E4" s="43">
        <f ca="1">TODAY()</f>
        <v>46255</v>
      </c>
      <c r="F4" s="41"/>
      <c r="G4" s="41"/>
      <c r="H4" s="41"/>
    </row>
    <row r="5" spans="1:8" ht="12.75" customHeight="1" x14ac:dyDescent="0.25">
      <c r="A5" s="73" t="s">
        <v>154</v>
      </c>
      <c r="B5" s="73"/>
      <c r="C5" s="73"/>
      <c r="D5" s="73"/>
      <c r="E5" s="73"/>
      <c r="F5" s="73"/>
      <c r="G5" s="41"/>
      <c r="H5" s="41"/>
    </row>
    <row r="6" spans="1:8" ht="12.75" customHeight="1" x14ac:dyDescent="0.25">
      <c r="A6" s="23" t="s">
        <v>155</v>
      </c>
      <c r="B6" s="74" t="str">
        <f>IF(B4="","",IFERROR(INDEX('Recibos Fundo Maneio'!E:E,MATCH(B4,'Recibos Fundo Maneio'!A:A,0)),""))</f>
        <v>Alberto</v>
      </c>
      <c r="C6" s="74"/>
      <c r="D6" s="23" t="s">
        <v>156</v>
      </c>
      <c r="E6" s="74" t="str">
        <f>IF(B4="","",IFERROR(INDEX('Recibos Fundo Maneio'!F:F,MATCH(B4,'Recibos Fundo Maneio'!A:A,0)),""))</f>
        <v>Prestador de serviço / Colaborador</v>
      </c>
      <c r="F6" s="74"/>
      <c r="G6" s="41"/>
      <c r="H6" s="41"/>
    </row>
    <row r="7" spans="1:8" ht="12.75" customHeight="1" x14ac:dyDescent="0.25">
      <c r="A7" s="23" t="s">
        <v>157</v>
      </c>
      <c r="B7" s="43">
        <f>IF(B4="","",IFERROR(INDEX('Recibos Fundo Maneio'!B:B,MATCH(B4,'Recibos Fundo Maneio'!A:A,0)),""))</f>
        <v>46251</v>
      </c>
      <c r="C7" s="41"/>
      <c r="D7" s="41"/>
      <c r="E7" s="41"/>
      <c r="F7" s="41"/>
      <c r="G7" s="41"/>
      <c r="H7" s="41"/>
    </row>
    <row r="8" spans="1:8" ht="12.75" customHeight="1" x14ac:dyDescent="0.25">
      <c r="A8" s="73" t="s">
        <v>81</v>
      </c>
      <c r="B8" s="73"/>
      <c r="C8" s="73"/>
      <c r="D8" s="73"/>
      <c r="E8" s="73"/>
      <c r="F8" s="73"/>
      <c r="G8" s="41"/>
      <c r="H8" s="41"/>
    </row>
    <row r="9" spans="1:8" ht="12.75" customHeight="1" x14ac:dyDescent="0.25">
      <c r="A9" s="23" t="s">
        <v>82</v>
      </c>
      <c r="B9" s="41"/>
      <c r="C9" s="41"/>
      <c r="D9" s="23" t="s">
        <v>104</v>
      </c>
      <c r="E9" s="23" t="s">
        <v>158</v>
      </c>
      <c r="F9" s="41"/>
      <c r="G9" s="41"/>
      <c r="H9" s="41"/>
    </row>
    <row r="10" spans="1:8" ht="12.75" customHeight="1" x14ac:dyDescent="0.25">
      <c r="A10" s="74" t="str">
        <f>IF(B4="","",IFERROR(INDEX('Recibos Fundo Maneio'!C:C,MATCH(B4,'Recibos Fundo Maneio'!A:A,0)),""))</f>
        <v>Compra pão e Sheltox p/ seguranças</v>
      </c>
      <c r="B10" s="74"/>
      <c r="C10" s="74"/>
      <c r="D10" s="44">
        <f>IF(B4="","",IFERROR(INDEX('Recibos Fundo Maneio'!D:D,MATCH(B4,'Recibos Fundo Maneio'!A:A,0)),""))</f>
        <v>7000</v>
      </c>
      <c r="E10" s="74" t="str">
        <f>IF(B4="","",IFERROR(INDEX('Recibos Fundo Maneio'!G:G,MATCH(B4,'Recibos Fundo Maneio'!A:A,0)),""))</f>
        <v>Fundo de Maneio</v>
      </c>
      <c r="F10" s="74"/>
      <c r="G10" s="41"/>
      <c r="H10" s="41"/>
    </row>
    <row r="11" spans="1:8" ht="12.75" customHeight="1" x14ac:dyDescent="0.25">
      <c r="A11" s="23" t="s">
        <v>159</v>
      </c>
      <c r="B11" s="41"/>
      <c r="C11" s="41"/>
      <c r="D11" s="45">
        <f>D10</f>
        <v>7000</v>
      </c>
      <c r="E11" s="41"/>
      <c r="F11" s="41"/>
      <c r="G11" s="41"/>
      <c r="H11" s="41"/>
    </row>
    <row r="12" spans="1:8" ht="12.75" customHeight="1" x14ac:dyDescent="0.25">
      <c r="A12" s="73" t="s">
        <v>160</v>
      </c>
      <c r="B12" s="73"/>
      <c r="C12" s="73"/>
      <c r="D12" s="73"/>
      <c r="E12" s="73"/>
      <c r="F12" s="73"/>
      <c r="G12" s="41"/>
      <c r="H12" s="41"/>
    </row>
    <row r="13" spans="1:8" ht="12.75" customHeight="1" x14ac:dyDescent="0.25">
      <c r="A13" s="75" t="str">
        <f>IF(B4="","","Declaro ter recebido a quantia de "&amp;TEXT(D10,"#,##0.00")&amp;" KZ (em dinheiro) referente a: "&amp;A10&amp;". Pagamento efetuado a partir do Fundo de Maneio da Escola.")</f>
        <v>Declaro ter recebido a quantia de 7000,0.00 KZ (em dinheiro) referente a: Compra pão e Sheltox p/ seguranças. Pagamento efetuado a partir do Fundo de Maneio da Escola.</v>
      </c>
      <c r="B13" s="75"/>
      <c r="C13" s="75"/>
      <c r="D13" s="75"/>
      <c r="E13" s="75"/>
      <c r="F13" s="75"/>
      <c r="G13" s="41"/>
      <c r="H13" s="41"/>
    </row>
    <row r="14" spans="1:8" ht="12.75" customHeight="1" x14ac:dyDescent="0.25">
      <c r="A14" s="75"/>
      <c r="B14" s="75"/>
      <c r="C14" s="75"/>
      <c r="D14" s="75"/>
      <c r="E14" s="75"/>
      <c r="F14" s="75"/>
      <c r="G14" s="41"/>
      <c r="H14" s="41"/>
    </row>
    <row r="15" spans="1:8" ht="12.75" customHeight="1" x14ac:dyDescent="0.25">
      <c r="A15" s="23" t="s">
        <v>161</v>
      </c>
      <c r="B15" s="41"/>
      <c r="C15" s="41"/>
      <c r="D15" s="23" t="s">
        <v>162</v>
      </c>
      <c r="E15" s="41"/>
      <c r="F15" s="41"/>
      <c r="G15" s="41"/>
      <c r="H15" s="41"/>
    </row>
    <row r="16" spans="1:8" ht="12.75" customHeight="1" x14ac:dyDescent="0.25">
      <c r="A16" s="46" t="s">
        <v>163</v>
      </c>
      <c r="B16" s="41"/>
      <c r="C16" s="41"/>
      <c r="D16" s="46" t="s">
        <v>163</v>
      </c>
      <c r="E16" s="41"/>
      <c r="F16" s="41"/>
      <c r="G16" s="41"/>
      <c r="H16" s="41"/>
    </row>
    <row r="17" spans="1:8" ht="12.75" customHeight="1" x14ac:dyDescent="0.25">
      <c r="A17" s="46" t="s">
        <v>164</v>
      </c>
      <c r="B17" s="41"/>
      <c r="C17" s="41"/>
      <c r="D17" s="46" t="s">
        <v>165</v>
      </c>
      <c r="E17" s="41"/>
      <c r="F17" s="41"/>
      <c r="G17" s="41"/>
      <c r="H17" s="41"/>
    </row>
    <row r="18" spans="1:8" ht="12.75" customHeight="1" x14ac:dyDescent="0.25">
      <c r="A18" s="46" t="s">
        <v>97</v>
      </c>
      <c r="B18" s="41"/>
      <c r="C18" s="41"/>
      <c r="D18" s="46" t="s">
        <v>97</v>
      </c>
      <c r="E18" s="41"/>
      <c r="F18" s="41"/>
      <c r="G18" s="41"/>
      <c r="H18" s="41"/>
    </row>
    <row r="19" spans="1:8" ht="12.75" customHeight="1" x14ac:dyDescent="0.25">
      <c r="A19" s="71" t="s">
        <v>166</v>
      </c>
      <c r="B19" s="71"/>
      <c r="C19" s="71"/>
      <c r="D19" s="71"/>
      <c r="E19" s="71"/>
      <c r="F19" s="71"/>
      <c r="G19" s="41"/>
      <c r="H19" s="41"/>
    </row>
    <row r="20" spans="1:8" ht="12.75" customHeight="1" x14ac:dyDescent="0.25">
      <c r="A20" s="78" t="s">
        <v>167</v>
      </c>
      <c r="B20" s="78"/>
      <c r="C20" s="78"/>
      <c r="D20" s="78"/>
      <c r="E20" s="78"/>
      <c r="F20" s="78"/>
      <c r="G20" s="41"/>
      <c r="H20" s="41"/>
    </row>
    <row r="21" spans="1:8" ht="12.75" customHeight="1" x14ac:dyDescent="0.25">
      <c r="A21" s="79" t="s">
        <v>68</v>
      </c>
      <c r="B21" s="79"/>
      <c r="C21" s="79"/>
      <c r="D21" s="79"/>
      <c r="E21" s="79"/>
      <c r="F21" s="79"/>
      <c r="G21" s="41"/>
      <c r="H21" s="41"/>
    </row>
    <row r="22" spans="1:8" ht="12.75" customHeight="1" x14ac:dyDescent="0.25">
      <c r="A22" s="76" t="s">
        <v>150</v>
      </c>
      <c r="B22" s="76"/>
      <c r="C22" s="76"/>
      <c r="D22" s="76"/>
      <c r="E22" s="76"/>
      <c r="F22" s="76"/>
      <c r="G22" s="41"/>
      <c r="H22" s="41"/>
    </row>
    <row r="23" spans="1:8" ht="12.75" customHeight="1" x14ac:dyDescent="0.25">
      <c r="A23" s="77" t="s">
        <v>151</v>
      </c>
      <c r="B23" s="77"/>
      <c r="C23" s="77"/>
      <c r="D23" s="77"/>
      <c r="E23" s="77"/>
      <c r="F23" s="77"/>
      <c r="G23" s="41"/>
      <c r="H23" s="41"/>
    </row>
    <row r="24" spans="1:8" ht="12.75" customHeight="1" x14ac:dyDescent="0.25">
      <c r="A24" s="23" t="s">
        <v>152</v>
      </c>
      <c r="B24" s="42" t="s">
        <v>148</v>
      </c>
      <c r="C24" s="41"/>
      <c r="D24" s="23" t="s">
        <v>153</v>
      </c>
      <c r="E24" s="43">
        <f ca="1">TODAY()</f>
        <v>46255</v>
      </c>
      <c r="F24" s="41"/>
      <c r="G24" s="41"/>
      <c r="H24" s="41"/>
    </row>
    <row r="25" spans="1:8" ht="12.75" customHeight="1" x14ac:dyDescent="0.25">
      <c r="A25" s="73" t="s">
        <v>154</v>
      </c>
      <c r="B25" s="73"/>
      <c r="C25" s="73"/>
      <c r="D25" s="73"/>
      <c r="E25" s="73"/>
      <c r="F25" s="73"/>
      <c r="G25" s="41"/>
      <c r="H25" s="41"/>
    </row>
    <row r="26" spans="1:8" ht="12.75" customHeight="1" x14ac:dyDescent="0.25">
      <c r="A26" s="23" t="s">
        <v>155</v>
      </c>
      <c r="B26" s="74" t="str">
        <f>IF(B24="","",IFERROR(INDEX('Recibos Fundo Maneio'!E:E,MATCH(B24,'Recibos Fundo Maneio'!A:A,0)),""))</f>
        <v>Pedro</v>
      </c>
      <c r="C26" s="74"/>
      <c r="D26" s="23" t="s">
        <v>156</v>
      </c>
      <c r="E26" s="74" t="str">
        <f>IF(B24="","",IFERROR(INDEX('Recibos Fundo Maneio'!F:F,MATCH(B24,'Recibos Fundo Maneio'!A:A,0)),""))</f>
        <v>Prestador de serviço / Colaborador</v>
      </c>
      <c r="F26" s="74"/>
      <c r="G26" s="41"/>
      <c r="H26" s="41"/>
    </row>
    <row r="27" spans="1:8" ht="12.75" customHeight="1" x14ac:dyDescent="0.25">
      <c r="A27" s="23" t="s">
        <v>157</v>
      </c>
      <c r="B27" s="43">
        <f>IF(B24="","",IFERROR(INDEX('Recibos Fundo Maneio'!B:B,MATCH(B24,'Recibos Fundo Maneio'!A:A,0)),""))</f>
        <v>46251</v>
      </c>
      <c r="C27" s="41"/>
      <c r="D27" s="41"/>
      <c r="E27" s="41"/>
      <c r="F27" s="41"/>
      <c r="G27" s="41"/>
      <c r="H27" s="41"/>
    </row>
    <row r="28" spans="1:8" ht="12.75" customHeight="1" x14ac:dyDescent="0.25">
      <c r="A28" s="73" t="s">
        <v>81</v>
      </c>
      <c r="B28" s="73"/>
      <c r="C28" s="73"/>
      <c r="D28" s="73"/>
      <c r="E28" s="73"/>
      <c r="F28" s="73"/>
      <c r="G28" s="41"/>
      <c r="H28" s="41"/>
    </row>
    <row r="29" spans="1:8" ht="12.75" customHeight="1" x14ac:dyDescent="0.25">
      <c r="A29" s="23" t="s">
        <v>82</v>
      </c>
      <c r="B29" s="47"/>
      <c r="C29" s="41"/>
      <c r="D29" s="23" t="s">
        <v>104</v>
      </c>
      <c r="E29" s="23" t="s">
        <v>158</v>
      </c>
      <c r="F29" s="41"/>
      <c r="G29" s="41"/>
      <c r="H29" s="41"/>
    </row>
    <row r="30" spans="1:8" ht="12.75" customHeight="1" x14ac:dyDescent="0.25">
      <c r="A30" s="74" t="str">
        <f>IF(B24="","",IFERROR(INDEX('Recibos Fundo Maneio'!C:C,MATCH(B24,'Recibos Fundo Maneio'!A:A,0)),""))</f>
        <v>Adiantamento p/ pintor</v>
      </c>
      <c r="B30" s="74"/>
      <c r="C30" s="74"/>
      <c r="D30" s="44">
        <f>IF(B24="","",IFERROR(INDEX('Recibos Fundo Maneio'!D:D,MATCH(B24,'Recibos Fundo Maneio'!A:A,0)),""))</f>
        <v>6000</v>
      </c>
      <c r="E30" s="74" t="str">
        <f>IF(B24="","",IFERROR(INDEX('Recibos Fundo Maneio'!G:G,MATCH(B24,'Recibos Fundo Maneio'!A:A,0)),""))</f>
        <v>Fundo de Maneio</v>
      </c>
      <c r="F30" s="74"/>
      <c r="G30" s="41"/>
      <c r="H30" s="41"/>
    </row>
    <row r="31" spans="1:8" ht="12.75" customHeight="1" x14ac:dyDescent="0.25">
      <c r="A31" s="23" t="s">
        <v>159</v>
      </c>
      <c r="B31" s="41"/>
      <c r="C31" s="41"/>
      <c r="D31" s="45">
        <f>D30</f>
        <v>6000</v>
      </c>
      <c r="E31" s="41"/>
      <c r="F31" s="41"/>
      <c r="G31" s="41"/>
      <c r="H31" s="41"/>
    </row>
    <row r="32" spans="1:8" ht="12.75" customHeight="1" x14ac:dyDescent="0.25">
      <c r="A32" s="73" t="s">
        <v>160</v>
      </c>
      <c r="B32" s="73"/>
      <c r="C32" s="73"/>
      <c r="D32" s="73"/>
      <c r="E32" s="73"/>
      <c r="F32" s="73"/>
      <c r="G32" s="41"/>
      <c r="H32" s="41"/>
    </row>
    <row r="33" spans="1:8" ht="12.75" customHeight="1" x14ac:dyDescent="0.25">
      <c r="A33" s="75" t="str">
        <f>IF(B24="","","Declaro ter recebido a quantia de "&amp;TEXT(D30,"#,##0.00")&amp;" KZ (em dinheiro) referente a: "&amp;A30&amp;". Pagamento efetuado a partir do Fundo de Maneio da Escola.")</f>
        <v>Declaro ter recebido a quantia de 6000,0.00 KZ (em dinheiro) referente a: Adiantamento p/ pintor. Pagamento efetuado a partir do Fundo de Maneio da Escola.</v>
      </c>
      <c r="B33" s="75"/>
      <c r="C33" s="75"/>
      <c r="D33" s="75"/>
      <c r="E33" s="75"/>
      <c r="F33" s="75"/>
      <c r="G33" s="41"/>
      <c r="H33" s="41"/>
    </row>
    <row r="34" spans="1:8" ht="12.75" customHeight="1" x14ac:dyDescent="0.25">
      <c r="A34" s="75"/>
      <c r="B34" s="75"/>
      <c r="C34" s="75"/>
      <c r="D34" s="75"/>
      <c r="E34" s="75"/>
      <c r="F34" s="75"/>
      <c r="G34" s="41"/>
      <c r="H34" s="41"/>
    </row>
    <row r="35" spans="1:8" ht="12.75" customHeight="1" x14ac:dyDescent="0.25">
      <c r="A35" s="23" t="s">
        <v>161</v>
      </c>
      <c r="B35" s="41"/>
      <c r="C35" s="41"/>
      <c r="D35" s="23" t="s">
        <v>162</v>
      </c>
      <c r="E35" s="41"/>
      <c r="F35" s="41"/>
      <c r="G35" s="41"/>
      <c r="H35" s="41"/>
    </row>
    <row r="36" spans="1:8" ht="12.75" customHeight="1" x14ac:dyDescent="0.25">
      <c r="A36" s="46" t="s">
        <v>163</v>
      </c>
      <c r="B36" s="41"/>
      <c r="C36" s="41"/>
      <c r="D36" s="46" t="s">
        <v>163</v>
      </c>
      <c r="E36" s="41"/>
      <c r="F36" s="41"/>
      <c r="G36" s="41"/>
      <c r="H36" s="41"/>
    </row>
    <row r="37" spans="1:8" ht="12.75" customHeight="1" x14ac:dyDescent="0.25">
      <c r="A37" s="46" t="s">
        <v>164</v>
      </c>
      <c r="B37" s="41"/>
      <c r="C37" s="41"/>
      <c r="D37" s="46" t="s">
        <v>165</v>
      </c>
      <c r="E37" s="41"/>
      <c r="F37" s="41"/>
      <c r="G37" s="41"/>
      <c r="H37" s="41"/>
    </row>
    <row r="38" spans="1:8" ht="12.75" customHeight="1" x14ac:dyDescent="0.25">
      <c r="A38" s="46" t="s">
        <v>97</v>
      </c>
      <c r="B38" s="41"/>
      <c r="C38" s="41"/>
      <c r="D38" s="46" t="s">
        <v>97</v>
      </c>
      <c r="E38" s="41"/>
      <c r="F38" s="41"/>
      <c r="G38" s="41"/>
      <c r="H38" s="41"/>
    </row>
    <row r="39" spans="1:8" ht="12.75" customHeight="1" x14ac:dyDescent="0.25">
      <c r="A39" s="71" t="s">
        <v>166</v>
      </c>
      <c r="B39" s="71"/>
      <c r="C39" s="71"/>
      <c r="D39" s="71"/>
      <c r="E39" s="71"/>
      <c r="F39" s="71"/>
      <c r="G39" s="41"/>
      <c r="H39" s="41"/>
    </row>
    <row r="40" spans="1:8" ht="12.75" customHeight="1" x14ac:dyDescent="0.25">
      <c r="A40" s="78" t="s">
        <v>167</v>
      </c>
      <c r="B40" s="78"/>
      <c r="C40" s="78"/>
      <c r="D40" s="78"/>
      <c r="E40" s="78"/>
      <c r="F40" s="78"/>
      <c r="G40" s="41"/>
      <c r="H40" s="41"/>
    </row>
    <row r="41" spans="1:8" ht="12.75" customHeight="1" x14ac:dyDescent="0.25">
      <c r="A41" s="79" t="s">
        <v>68</v>
      </c>
      <c r="B41" s="79"/>
      <c r="C41" s="79"/>
      <c r="D41" s="79"/>
      <c r="E41" s="79"/>
      <c r="F41" s="79"/>
      <c r="G41" s="41"/>
      <c r="H41" s="41"/>
    </row>
    <row r="42" spans="1:8" ht="12.75" customHeight="1" x14ac:dyDescent="0.25">
      <c r="A42" s="76" t="s">
        <v>150</v>
      </c>
      <c r="B42" s="76"/>
      <c r="C42" s="76"/>
      <c r="D42" s="76"/>
      <c r="E42" s="76"/>
      <c r="F42" s="76"/>
      <c r="G42" s="41"/>
      <c r="H42" s="41"/>
    </row>
    <row r="43" spans="1:8" ht="12.75" customHeight="1" x14ac:dyDescent="0.25">
      <c r="A43" s="77" t="s">
        <v>151</v>
      </c>
      <c r="B43" s="77"/>
      <c r="C43" s="77"/>
      <c r="D43" s="77"/>
      <c r="E43" s="77"/>
      <c r="F43" s="77"/>
      <c r="G43" s="41"/>
      <c r="H43" s="41"/>
    </row>
    <row r="44" spans="1:8" ht="12.75" customHeight="1" x14ac:dyDescent="0.25">
      <c r="A44" s="23" t="s">
        <v>152</v>
      </c>
      <c r="B44" s="42"/>
      <c r="C44" s="41"/>
      <c r="D44" s="23" t="s">
        <v>153</v>
      </c>
      <c r="E44" s="43">
        <f ca="1">TODAY()</f>
        <v>46255</v>
      </c>
      <c r="F44" s="41"/>
      <c r="G44" s="41"/>
      <c r="H44" s="41"/>
    </row>
    <row r="45" spans="1:8" ht="12.75" customHeight="1" x14ac:dyDescent="0.25">
      <c r="A45" s="73" t="s">
        <v>154</v>
      </c>
      <c r="B45" s="73"/>
      <c r="C45" s="73"/>
      <c r="D45" s="73"/>
      <c r="E45" s="73"/>
      <c r="F45" s="73"/>
      <c r="G45" s="41"/>
      <c r="H45" s="41"/>
    </row>
    <row r="46" spans="1:8" ht="12.75" customHeight="1" x14ac:dyDescent="0.25">
      <c r="A46" s="23" t="s">
        <v>155</v>
      </c>
      <c r="B46" s="74" t="str">
        <f>IF(B44="","",IFERROR(INDEX('Recibos Fundo Maneio'!E:E,MATCH(B44,'Recibos Fundo Maneio'!A:A,0)),""))</f>
        <v/>
      </c>
      <c r="C46" s="74"/>
      <c r="D46" s="23" t="s">
        <v>156</v>
      </c>
      <c r="E46" s="74" t="str">
        <f>IF(B44="","",IFERROR(INDEX('Recibos Fundo Maneio'!F:F,MATCH(B44,'Recibos Fundo Maneio'!A:A,0)),""))</f>
        <v/>
      </c>
      <c r="F46" s="74"/>
      <c r="G46" s="41"/>
      <c r="H46" s="41"/>
    </row>
    <row r="47" spans="1:8" ht="12.75" customHeight="1" x14ac:dyDescent="0.25">
      <c r="A47" s="23" t="s">
        <v>157</v>
      </c>
      <c r="B47" s="43" t="str">
        <f>IF(B44="","",IFERROR(INDEX('Recibos Fundo Maneio'!B:B,MATCH(B44,'Recibos Fundo Maneio'!A:A,0)),""))</f>
        <v/>
      </c>
      <c r="C47" s="41"/>
      <c r="D47" s="41"/>
      <c r="E47" s="41"/>
      <c r="F47" s="41"/>
      <c r="G47" s="41"/>
      <c r="H47" s="41"/>
    </row>
    <row r="48" spans="1:8" ht="12.75" customHeight="1" x14ac:dyDescent="0.25">
      <c r="A48" s="73" t="s">
        <v>81</v>
      </c>
      <c r="B48" s="73"/>
      <c r="C48" s="73"/>
      <c r="D48" s="73"/>
      <c r="E48" s="73"/>
      <c r="F48" s="73"/>
      <c r="G48" s="41"/>
      <c r="H48" s="41"/>
    </row>
    <row r="49" spans="1:8" ht="12.75" customHeight="1" x14ac:dyDescent="0.25">
      <c r="A49" s="23" t="s">
        <v>82</v>
      </c>
      <c r="B49" s="41"/>
      <c r="C49" s="41"/>
      <c r="D49" s="23" t="s">
        <v>104</v>
      </c>
      <c r="E49" s="23" t="s">
        <v>158</v>
      </c>
      <c r="F49" s="41"/>
      <c r="G49" s="41"/>
      <c r="H49" s="41"/>
    </row>
    <row r="50" spans="1:8" ht="12.75" customHeight="1" x14ac:dyDescent="0.25">
      <c r="A50" s="74" t="str">
        <f>IF(B44="","",IFERROR(INDEX('Recibos Fundo Maneio'!C:C,MATCH(B44,'Recibos Fundo Maneio'!A:A,0)),""))</f>
        <v/>
      </c>
      <c r="B50" s="74"/>
      <c r="C50" s="74"/>
      <c r="D50" s="44" t="str">
        <f>IF(B44="","",IFERROR(INDEX('Recibos Fundo Maneio'!D:D,MATCH(B44,'Recibos Fundo Maneio'!A:A,0)),""))</f>
        <v/>
      </c>
      <c r="E50" s="74" t="str">
        <f>IF(B44="","",IFERROR(INDEX('Recibos Fundo Maneio'!G:G,MATCH(B44,'Recibos Fundo Maneio'!A:A,0)),""))</f>
        <v/>
      </c>
      <c r="F50" s="74"/>
      <c r="G50" s="41"/>
      <c r="H50" s="41"/>
    </row>
    <row r="51" spans="1:8" ht="12.75" customHeight="1" x14ac:dyDescent="0.25">
      <c r="A51" s="23" t="s">
        <v>159</v>
      </c>
      <c r="B51" s="41"/>
      <c r="C51" s="41"/>
      <c r="D51" s="45" t="str">
        <f>D50</f>
        <v/>
      </c>
      <c r="E51" s="41"/>
      <c r="F51" s="41"/>
      <c r="G51" s="41"/>
      <c r="H51" s="41"/>
    </row>
    <row r="52" spans="1:8" ht="12.75" customHeight="1" x14ac:dyDescent="0.25">
      <c r="A52" s="73" t="s">
        <v>160</v>
      </c>
      <c r="B52" s="73"/>
      <c r="C52" s="73"/>
      <c r="D52" s="73"/>
      <c r="E52" s="73"/>
      <c r="F52" s="73"/>
      <c r="G52" s="41"/>
      <c r="H52" s="41"/>
    </row>
    <row r="53" spans="1:8" ht="12.75" customHeight="1" x14ac:dyDescent="0.25">
      <c r="A53" s="75" t="str">
        <f>IF(B44="","","Declaro ter recebido a quantia de "&amp;TEXT(D50,"#,##0.00")&amp;" KZ (em dinheiro) referente a: "&amp;A50&amp;". Pagamento efetuado a partir do Fundo de Maneio da Escola.")</f>
        <v/>
      </c>
      <c r="B53" s="75"/>
      <c r="C53" s="75"/>
      <c r="D53" s="75"/>
      <c r="E53" s="75"/>
      <c r="F53" s="75"/>
      <c r="G53" s="41"/>
      <c r="H53" s="41"/>
    </row>
    <row r="54" spans="1:8" ht="12.75" customHeight="1" x14ac:dyDescent="0.25">
      <c r="A54" s="75"/>
      <c r="B54" s="75"/>
      <c r="C54" s="75"/>
      <c r="D54" s="75"/>
      <c r="E54" s="75"/>
      <c r="F54" s="75"/>
      <c r="G54" s="41"/>
      <c r="H54" s="41"/>
    </row>
    <row r="55" spans="1:8" ht="12.75" customHeight="1" x14ac:dyDescent="0.25">
      <c r="A55" s="23" t="s">
        <v>161</v>
      </c>
      <c r="B55" s="41"/>
      <c r="C55" s="41"/>
      <c r="D55" s="23" t="s">
        <v>162</v>
      </c>
      <c r="E55" s="41"/>
      <c r="F55" s="41"/>
      <c r="G55" s="41"/>
      <c r="H55" s="41"/>
    </row>
    <row r="56" spans="1:8" ht="12.75" customHeight="1" x14ac:dyDescent="0.25">
      <c r="A56" s="46" t="s">
        <v>163</v>
      </c>
      <c r="B56" s="41"/>
      <c r="C56" s="41"/>
      <c r="D56" s="46" t="s">
        <v>163</v>
      </c>
      <c r="E56" s="41"/>
      <c r="F56" s="41"/>
      <c r="G56" s="41"/>
      <c r="H56" s="41"/>
    </row>
    <row r="57" spans="1:8" ht="12.75" customHeight="1" x14ac:dyDescent="0.25">
      <c r="A57" s="46" t="s">
        <v>164</v>
      </c>
      <c r="B57" s="41"/>
      <c r="C57" s="41"/>
      <c r="D57" s="46" t="s">
        <v>165</v>
      </c>
      <c r="E57" s="41"/>
      <c r="F57" s="41"/>
      <c r="G57" s="41"/>
      <c r="H57" s="41"/>
    </row>
    <row r="58" spans="1:8" ht="12.75" customHeight="1" x14ac:dyDescent="0.25">
      <c r="A58" s="46" t="s">
        <v>97</v>
      </c>
      <c r="B58" s="41"/>
      <c r="C58" s="41"/>
      <c r="D58" s="46" t="s">
        <v>97</v>
      </c>
      <c r="E58" s="41"/>
      <c r="F58" s="41"/>
      <c r="G58" s="41"/>
      <c r="H58" s="41"/>
    </row>
    <row r="59" spans="1:8" ht="12.75" customHeight="1" x14ac:dyDescent="0.25">
      <c r="A59" s="71" t="s">
        <v>166</v>
      </c>
      <c r="B59" s="71"/>
      <c r="C59" s="71"/>
      <c r="D59" s="71"/>
      <c r="E59" s="71"/>
      <c r="F59" s="71"/>
      <c r="G59" s="41"/>
      <c r="H59" s="41"/>
    </row>
    <row r="60" spans="1:8" ht="12.75" customHeight="1" x14ac:dyDescent="0.25">
      <c r="A60" s="72"/>
      <c r="B60" s="72"/>
      <c r="C60" s="72"/>
      <c r="D60" s="72"/>
      <c r="E60" s="72"/>
      <c r="F60" s="72"/>
      <c r="G60" s="41"/>
      <c r="H60" s="41"/>
    </row>
    <row r="61" spans="1:8" ht="12.75" customHeight="1" x14ac:dyDescent="0.25">
      <c r="A61" s="41"/>
      <c r="B61" s="41"/>
      <c r="C61" s="41"/>
      <c r="D61" s="41"/>
      <c r="E61" s="41"/>
      <c r="F61" s="41"/>
      <c r="G61" s="41"/>
      <c r="H61" s="41"/>
    </row>
    <row r="62" spans="1:8" ht="15" customHeight="1" x14ac:dyDescent="0.25">
      <c r="A62" s="41"/>
      <c r="B62" s="41"/>
      <c r="C62" s="41"/>
      <c r="D62" s="41"/>
      <c r="E62" s="41"/>
      <c r="F62" s="41"/>
      <c r="G62" s="41"/>
      <c r="H62" s="41"/>
    </row>
    <row r="63" spans="1:8" ht="15" customHeight="1" x14ac:dyDescent="0.25">
      <c r="A63" s="41"/>
      <c r="B63" s="41"/>
      <c r="C63" s="41"/>
      <c r="D63" s="41"/>
      <c r="E63" s="41"/>
      <c r="F63" s="41"/>
      <c r="G63" s="41"/>
      <c r="H63" s="41"/>
    </row>
    <row r="64" spans="1:8" ht="15" customHeight="1" x14ac:dyDescent="0.25">
      <c r="A64" s="41"/>
      <c r="B64" s="41"/>
      <c r="C64" s="41"/>
      <c r="D64" s="41"/>
      <c r="E64" s="41"/>
      <c r="F64" s="41"/>
      <c r="G64" s="41"/>
      <c r="H64" s="41"/>
    </row>
    <row r="65" spans="1:8" ht="15" customHeight="1" x14ac:dyDescent="0.25">
      <c r="A65" s="41"/>
      <c r="B65" s="41"/>
      <c r="C65" s="41"/>
      <c r="D65" s="41"/>
      <c r="E65" s="41"/>
      <c r="F65" s="41"/>
      <c r="G65" s="41"/>
      <c r="H65" s="41"/>
    </row>
    <row r="66" spans="1:8" ht="15" customHeight="1" x14ac:dyDescent="0.25">
      <c r="A66" s="41"/>
      <c r="B66" s="41"/>
      <c r="C66" s="41"/>
      <c r="D66" s="41"/>
      <c r="E66" s="41"/>
      <c r="F66" s="41"/>
      <c r="G66" s="41"/>
      <c r="H66" s="41"/>
    </row>
    <row r="67" spans="1:8" ht="15" customHeight="1" x14ac:dyDescent="0.25">
      <c r="A67" s="41"/>
      <c r="B67" s="41"/>
      <c r="C67" s="41"/>
      <c r="D67" s="41"/>
      <c r="E67" s="41"/>
      <c r="F67" s="41"/>
      <c r="G67" s="41"/>
      <c r="H67" s="41"/>
    </row>
    <row r="68" spans="1:8" ht="15" customHeight="1" x14ac:dyDescent="0.25">
      <c r="A68" s="41"/>
      <c r="B68" s="41"/>
      <c r="C68" s="41"/>
      <c r="D68" s="41"/>
      <c r="E68" s="41"/>
      <c r="F68" s="41"/>
      <c r="G68" s="41"/>
      <c r="H68" s="41"/>
    </row>
    <row r="69" spans="1:8" ht="15" customHeight="1" x14ac:dyDescent="0.25">
      <c r="A69" s="41"/>
      <c r="B69" s="41"/>
      <c r="C69" s="41"/>
      <c r="D69" s="41"/>
      <c r="E69" s="41"/>
      <c r="F69" s="41"/>
      <c r="G69" s="41"/>
      <c r="H69" s="41"/>
    </row>
    <row r="70" spans="1:8" ht="15" customHeight="1" x14ac:dyDescent="0.25">
      <c r="A70" s="41"/>
      <c r="B70" s="41"/>
      <c r="C70" s="41"/>
      <c r="D70" s="41"/>
      <c r="E70" s="41"/>
      <c r="F70" s="41"/>
      <c r="G70" s="41"/>
      <c r="H70" s="41"/>
    </row>
    <row r="71" spans="1:8" ht="15" customHeight="1" x14ac:dyDescent="0.25">
      <c r="A71" s="41"/>
      <c r="B71" s="41"/>
      <c r="C71" s="41"/>
      <c r="D71" s="41"/>
      <c r="E71" s="41"/>
      <c r="F71" s="41"/>
      <c r="G71" s="41"/>
      <c r="H71" s="41"/>
    </row>
    <row r="72" spans="1:8" ht="15" customHeight="1" x14ac:dyDescent="0.25">
      <c r="A72" s="41"/>
      <c r="B72" s="41"/>
      <c r="C72" s="41"/>
      <c r="D72" s="41"/>
      <c r="E72" s="41"/>
      <c r="F72" s="41"/>
      <c r="G72" s="41"/>
      <c r="H72" s="41"/>
    </row>
    <row r="73" spans="1:8" ht="15" customHeight="1" x14ac:dyDescent="0.25">
      <c r="A73" s="41"/>
      <c r="B73" s="41"/>
      <c r="C73" s="41"/>
      <c r="D73" s="41"/>
      <c r="E73" s="41"/>
      <c r="F73" s="41"/>
      <c r="G73" s="41"/>
      <c r="H73" s="41"/>
    </row>
    <row r="74" spans="1:8" ht="15" customHeight="1" x14ac:dyDescent="0.25">
      <c r="A74" s="41"/>
      <c r="B74" s="41"/>
      <c r="C74" s="41"/>
      <c r="D74" s="41"/>
      <c r="E74" s="41"/>
      <c r="F74" s="41"/>
      <c r="G74" s="41"/>
      <c r="H74" s="41"/>
    </row>
    <row r="75" spans="1:8" ht="15" customHeight="1" x14ac:dyDescent="0.25">
      <c r="A75" s="41"/>
      <c r="B75" s="41"/>
      <c r="C75" s="41"/>
      <c r="D75" s="41"/>
      <c r="E75" s="41"/>
      <c r="F75" s="41"/>
      <c r="G75" s="41"/>
      <c r="H75" s="41"/>
    </row>
    <row r="76" spans="1:8" ht="15" customHeight="1" x14ac:dyDescent="0.25">
      <c r="A76" s="41"/>
      <c r="B76" s="41"/>
      <c r="C76" s="41"/>
      <c r="D76" s="41"/>
      <c r="E76" s="41"/>
      <c r="F76" s="41"/>
      <c r="G76" s="41"/>
      <c r="H76" s="41"/>
    </row>
    <row r="77" spans="1:8" ht="15" customHeight="1" x14ac:dyDescent="0.25">
      <c r="A77" s="41"/>
      <c r="B77" s="41"/>
      <c r="C77" s="41"/>
      <c r="D77" s="41"/>
      <c r="E77" s="41"/>
      <c r="F77" s="41"/>
      <c r="G77" s="41"/>
      <c r="H77" s="41"/>
    </row>
    <row r="78" spans="1:8" ht="15" customHeight="1" x14ac:dyDescent="0.25">
      <c r="A78" s="41"/>
      <c r="B78" s="41"/>
      <c r="C78" s="41"/>
      <c r="D78" s="41"/>
      <c r="E78" s="41"/>
      <c r="F78" s="41"/>
      <c r="G78" s="41"/>
      <c r="H78" s="41"/>
    </row>
    <row r="79" spans="1:8" ht="15" customHeight="1" x14ac:dyDescent="0.25">
      <c r="A79" s="41"/>
      <c r="B79" s="41"/>
      <c r="C79" s="41"/>
      <c r="D79" s="41"/>
      <c r="E79" s="41"/>
      <c r="F79" s="41"/>
      <c r="G79" s="41"/>
      <c r="H79" s="41"/>
    </row>
    <row r="80" spans="1:8" ht="15" customHeight="1" x14ac:dyDescent="0.25">
      <c r="A80" s="41"/>
      <c r="B80" s="41"/>
      <c r="C80" s="41"/>
      <c r="D80" s="41"/>
      <c r="E80" s="41"/>
      <c r="F80" s="41"/>
      <c r="G80" s="41"/>
      <c r="H80" s="41"/>
    </row>
  </sheetData>
  <mergeCells count="39">
    <mergeCell ref="A1:F1"/>
    <mergeCell ref="A2:F2"/>
    <mergeCell ref="A3:F3"/>
    <mergeCell ref="A5:F5"/>
    <mergeCell ref="B6:C6"/>
    <mergeCell ref="E6:F6"/>
    <mergeCell ref="A8:F8"/>
    <mergeCell ref="A10:C10"/>
    <mergeCell ref="E10:F10"/>
    <mergeCell ref="A12:F12"/>
    <mergeCell ref="A13:F14"/>
    <mergeCell ref="A19:F19"/>
    <mergeCell ref="A20:F20"/>
    <mergeCell ref="A21:F21"/>
    <mergeCell ref="A22:F22"/>
    <mergeCell ref="A23:F23"/>
    <mergeCell ref="A25:F25"/>
    <mergeCell ref="B26:C26"/>
    <mergeCell ref="E26:F26"/>
    <mergeCell ref="A28:F28"/>
    <mergeCell ref="A30:C30"/>
    <mergeCell ref="E30:F30"/>
    <mergeCell ref="A32:F32"/>
    <mergeCell ref="A33:F34"/>
    <mergeCell ref="A39:F39"/>
    <mergeCell ref="A40:F40"/>
    <mergeCell ref="A41:F41"/>
    <mergeCell ref="A42:F42"/>
    <mergeCell ref="A43:F43"/>
    <mergeCell ref="A45:F45"/>
    <mergeCell ref="B46:C46"/>
    <mergeCell ref="E46:F46"/>
    <mergeCell ref="A59:F59"/>
    <mergeCell ref="A60:F60"/>
    <mergeCell ref="A48:F48"/>
    <mergeCell ref="A50:C50"/>
    <mergeCell ref="E50:F50"/>
    <mergeCell ref="A52:F52"/>
    <mergeCell ref="A53:F54"/>
  </mergeCells>
  <pageMargins left="0.35" right="0.35" top="0.25" bottom="0.2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H31"/>
  <sheetViews>
    <sheetView topLeftCell="A10" zoomScaleNormal="100" workbookViewId="0">
      <selection activeCell="G12" sqref="G12"/>
    </sheetView>
  </sheetViews>
  <sheetFormatPr defaultColWidth="8.7109375" defaultRowHeight="15" x14ac:dyDescent="0.25"/>
  <cols>
    <col min="1" max="1" width="3" style="1" customWidth="1"/>
    <col min="2" max="2" width="28" style="1" customWidth="1"/>
    <col min="3" max="3" width="22" style="1" customWidth="1"/>
    <col min="4" max="4" width="22.85546875" style="1" customWidth="1"/>
    <col min="5" max="5" width="33.28515625" style="1" customWidth="1"/>
    <col min="6" max="6" width="12" style="1" customWidth="1"/>
    <col min="8" max="8" width="10.7109375" style="1" customWidth="1"/>
  </cols>
  <sheetData>
    <row r="2" spans="2:8" ht="15.75" customHeight="1" x14ac:dyDescent="0.25">
      <c r="B2" s="86" t="s">
        <v>68</v>
      </c>
      <c r="C2" s="86"/>
      <c r="D2" s="86"/>
      <c r="E2" s="86"/>
    </row>
    <row r="3" spans="2:8" ht="15" customHeight="1" x14ac:dyDescent="0.25">
      <c r="B3" s="87" t="s">
        <v>70</v>
      </c>
      <c r="C3" s="87"/>
      <c r="D3" s="87"/>
      <c r="E3" s="87"/>
    </row>
    <row r="4" spans="2:8" ht="15" customHeight="1" x14ac:dyDescent="0.25">
      <c r="B4" s="87" t="s">
        <v>71</v>
      </c>
      <c r="C4" s="87"/>
      <c r="D4" s="87"/>
      <c r="E4" s="87"/>
    </row>
    <row r="6" spans="2:8" ht="15.75" customHeight="1" x14ac:dyDescent="0.25">
      <c r="B6" s="88" t="s">
        <v>151</v>
      </c>
      <c r="C6" s="88"/>
      <c r="D6" s="88"/>
      <c r="E6" s="88"/>
    </row>
    <row r="8" spans="2:8" ht="15" customHeight="1" x14ac:dyDescent="0.25">
      <c r="B8" s="48" t="s">
        <v>73</v>
      </c>
      <c r="C8" s="49" t="s">
        <v>108</v>
      </c>
      <c r="D8" s="50" t="s">
        <v>168</v>
      </c>
      <c r="E8" s="51">
        <v>46240</v>
      </c>
    </row>
    <row r="10" spans="2:8" ht="15" customHeight="1" x14ac:dyDescent="0.25">
      <c r="B10" s="84" t="s">
        <v>169</v>
      </c>
      <c r="C10" s="84"/>
      <c r="D10" s="84"/>
      <c r="E10" s="84"/>
    </row>
    <row r="11" spans="2:8" ht="15" customHeight="1" x14ac:dyDescent="0.25">
      <c r="B11" s="48" t="s">
        <v>170</v>
      </c>
      <c r="C11" s="82" t="s">
        <v>110</v>
      </c>
      <c r="D11" s="82"/>
      <c r="E11" s="82"/>
    </row>
    <row r="12" spans="2:8" ht="15" customHeight="1" x14ac:dyDescent="0.25">
      <c r="B12" s="48" t="s">
        <v>156</v>
      </c>
      <c r="C12" s="83" t="s">
        <v>171</v>
      </c>
      <c r="D12" s="83"/>
      <c r="E12" s="83"/>
    </row>
    <row r="14" spans="2:8" ht="15" customHeight="1" x14ac:dyDescent="0.25">
      <c r="B14" s="84" t="s">
        <v>81</v>
      </c>
      <c r="C14" s="84"/>
      <c r="D14" s="84"/>
      <c r="E14" s="84"/>
      <c r="H14" s="52"/>
    </row>
    <row r="15" spans="2:8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8" ht="15.75" customHeight="1" x14ac:dyDescent="0.25">
      <c r="B16" s="54" t="s">
        <v>109</v>
      </c>
      <c r="C16" s="55">
        <v>44000</v>
      </c>
      <c r="D16" s="54" t="s">
        <v>173</v>
      </c>
      <c r="E16" s="54" t="s">
        <v>174</v>
      </c>
    </row>
    <row r="18" spans="2:5" ht="15.75" customHeight="1" x14ac:dyDescent="0.25">
      <c r="B18" s="56" t="s">
        <v>175</v>
      </c>
      <c r="C18" s="57">
        <v>44000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176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F31"/>
  <sheetViews>
    <sheetView zoomScaleNormal="100" workbookViewId="0">
      <selection activeCell="G17" sqref="G17"/>
    </sheetView>
  </sheetViews>
  <sheetFormatPr defaultColWidth="8.7109375" defaultRowHeight="15" x14ac:dyDescent="0.25"/>
  <cols>
    <col min="1" max="1" width="3" style="1" customWidth="1"/>
    <col min="2" max="2" width="28" style="1" customWidth="1"/>
    <col min="3" max="3" width="22" style="1" customWidth="1"/>
    <col min="4" max="4" width="23.7109375" style="1" customWidth="1"/>
    <col min="5" max="5" width="33.285156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113</v>
      </c>
      <c r="D8" s="48" t="s">
        <v>74</v>
      </c>
      <c r="E8" s="51">
        <v>46240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110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114</v>
      </c>
      <c r="C16" s="55">
        <v>2000</v>
      </c>
      <c r="D16" s="54" t="s">
        <v>173</v>
      </c>
      <c r="E16" s="54" t="s">
        <v>174</v>
      </c>
    </row>
    <row r="18" spans="2:5" ht="15.75" customHeight="1" x14ac:dyDescent="0.25">
      <c r="B18" s="56" t="s">
        <v>175</v>
      </c>
      <c r="C18" s="57">
        <v>2000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180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F31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32.7109375" style="1" customWidth="1"/>
    <col min="3" max="3" width="22" style="1" customWidth="1"/>
    <col min="4" max="4" width="22.5703125" style="1" customWidth="1"/>
    <col min="5" max="5" width="33.285156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115</v>
      </c>
      <c r="D8" s="48" t="s">
        <v>74</v>
      </c>
      <c r="E8" s="51">
        <v>46242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117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116</v>
      </c>
      <c r="C16" s="55">
        <v>10000</v>
      </c>
      <c r="D16" s="54" t="s">
        <v>173</v>
      </c>
      <c r="E16" s="54" t="s">
        <v>181</v>
      </c>
    </row>
    <row r="18" spans="2:5" ht="15.75" customHeight="1" x14ac:dyDescent="0.25">
      <c r="B18" s="56" t="s">
        <v>175</v>
      </c>
      <c r="C18" s="57">
        <v>10000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182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F31"/>
  <sheetViews>
    <sheetView zoomScaleNormal="100" workbookViewId="0">
      <selection activeCell="I18" sqref="I18"/>
    </sheetView>
  </sheetViews>
  <sheetFormatPr defaultColWidth="8.7109375" defaultRowHeight="15" x14ac:dyDescent="0.25"/>
  <cols>
    <col min="1" max="1" width="3" style="1" customWidth="1"/>
    <col min="2" max="2" width="34.140625" style="1" customWidth="1"/>
    <col min="3" max="3" width="22" style="1" customWidth="1"/>
    <col min="4" max="4" width="23" style="1" customWidth="1"/>
    <col min="5" max="5" width="33.285156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118</v>
      </c>
      <c r="D8" s="48" t="s">
        <v>74</v>
      </c>
      <c r="E8" s="51">
        <v>46242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120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119</v>
      </c>
      <c r="C16" s="55">
        <v>1000</v>
      </c>
      <c r="D16" s="54" t="s">
        <v>173</v>
      </c>
      <c r="E16" s="54" t="s">
        <v>181</v>
      </c>
    </row>
    <row r="18" spans="2:5" ht="15.75" customHeight="1" x14ac:dyDescent="0.25">
      <c r="B18" s="56" t="s">
        <v>175</v>
      </c>
      <c r="C18" s="57">
        <v>1000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183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F31"/>
  <sheetViews>
    <sheetView zoomScaleNormal="100" workbookViewId="0">
      <selection activeCell="F14" sqref="F14"/>
    </sheetView>
  </sheetViews>
  <sheetFormatPr defaultColWidth="8.7109375" defaultRowHeight="15" x14ac:dyDescent="0.25"/>
  <cols>
    <col min="1" max="1" width="3" style="1" customWidth="1"/>
    <col min="2" max="2" width="33.85546875" style="1" customWidth="1"/>
    <col min="3" max="3" width="22" style="1" customWidth="1"/>
    <col min="4" max="4" width="22.85546875" style="1" customWidth="1"/>
    <col min="5" max="5" width="32.425781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121</v>
      </c>
      <c r="D8" s="48" t="s">
        <v>74</v>
      </c>
      <c r="E8" s="51">
        <v>46242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110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122</v>
      </c>
      <c r="C16" s="55">
        <v>4000</v>
      </c>
      <c r="D16" s="54" t="s">
        <v>173</v>
      </c>
      <c r="E16" s="54" t="s">
        <v>181</v>
      </c>
    </row>
    <row r="18" spans="2:5" ht="15.75" customHeight="1" x14ac:dyDescent="0.25">
      <c r="B18" s="56" t="s">
        <v>175</v>
      </c>
      <c r="C18" s="57">
        <v>4000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184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F31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25.42578125" style="1" customWidth="1"/>
    <col min="3" max="3" width="22" style="1" customWidth="1"/>
    <col min="4" max="4" width="22.42578125" style="1" customWidth="1"/>
    <col min="5" max="5" width="32.285156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123</v>
      </c>
      <c r="D8" s="48" t="s">
        <v>74</v>
      </c>
      <c r="E8" s="51">
        <v>46242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125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124</v>
      </c>
      <c r="C16" s="55">
        <v>2000</v>
      </c>
      <c r="D16" s="54" t="s">
        <v>173</v>
      </c>
      <c r="E16" s="54" t="s">
        <v>181</v>
      </c>
    </row>
    <row r="18" spans="2:5" ht="15.75" customHeight="1" x14ac:dyDescent="0.25">
      <c r="B18" s="56" t="s">
        <v>175</v>
      </c>
      <c r="C18" s="57">
        <v>2000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185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F31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28" style="1" customWidth="1"/>
    <col min="3" max="3" width="22" style="1" customWidth="1"/>
    <col min="4" max="4" width="22.28515625" style="1" customWidth="1"/>
    <col min="5" max="5" width="32.425781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126</v>
      </c>
      <c r="D8" s="48" t="s">
        <v>74</v>
      </c>
      <c r="E8" s="51">
        <v>46242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117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127</v>
      </c>
      <c r="C16" s="55">
        <v>3000</v>
      </c>
      <c r="D16" s="54" t="s">
        <v>173</v>
      </c>
      <c r="E16" s="54" t="s">
        <v>181</v>
      </c>
    </row>
    <row r="18" spans="2:5" ht="15.75" customHeight="1" x14ac:dyDescent="0.25">
      <c r="B18" s="56" t="s">
        <v>175</v>
      </c>
      <c r="C18" s="57">
        <v>3000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186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F31"/>
  <sheetViews>
    <sheetView zoomScaleNormal="100" workbookViewId="0">
      <selection activeCell="F13" sqref="F13"/>
    </sheetView>
  </sheetViews>
  <sheetFormatPr defaultColWidth="8.7109375" defaultRowHeight="15" x14ac:dyDescent="0.25"/>
  <cols>
    <col min="1" max="1" width="3" style="1" customWidth="1"/>
    <col min="2" max="2" width="40" style="1" customWidth="1"/>
    <col min="3" max="3" width="22" style="1" customWidth="1"/>
    <col min="4" max="4" width="22.5703125" style="1" customWidth="1"/>
    <col min="5" max="5" width="32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128</v>
      </c>
      <c r="D8" s="48" t="s">
        <v>74</v>
      </c>
      <c r="E8" s="51">
        <v>46243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110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129</v>
      </c>
      <c r="C16" s="55">
        <v>2400</v>
      </c>
      <c r="D16" s="54" t="s">
        <v>173</v>
      </c>
      <c r="E16" s="54" t="s">
        <v>187</v>
      </c>
    </row>
    <row r="18" spans="2:5" ht="15.75" customHeight="1" x14ac:dyDescent="0.25">
      <c r="B18" s="56" t="s">
        <v>175</v>
      </c>
      <c r="C18" s="57">
        <v>2400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188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F31"/>
  <sheetViews>
    <sheetView topLeftCell="A7" zoomScaleNormal="100" workbookViewId="0">
      <selection activeCell="G12" sqref="G12"/>
    </sheetView>
  </sheetViews>
  <sheetFormatPr defaultColWidth="8.7109375" defaultRowHeight="15" x14ac:dyDescent="0.25"/>
  <cols>
    <col min="1" max="1" width="3" style="1" customWidth="1"/>
    <col min="2" max="2" width="36.85546875" style="1" customWidth="1"/>
    <col min="3" max="3" width="22" style="1" customWidth="1"/>
    <col min="4" max="4" width="22.5703125" style="1" customWidth="1"/>
    <col min="5" max="5" width="33.285156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130</v>
      </c>
      <c r="D8" s="48" t="s">
        <v>74</v>
      </c>
      <c r="E8" s="51">
        <v>46245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132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131</v>
      </c>
      <c r="C16" s="55">
        <v>2000</v>
      </c>
      <c r="D16" s="54" t="s">
        <v>173</v>
      </c>
      <c r="E16" s="54" t="s">
        <v>189</v>
      </c>
    </row>
    <row r="18" spans="2:5" ht="15.75" customHeight="1" x14ac:dyDescent="0.25">
      <c r="B18" s="56" t="s">
        <v>175</v>
      </c>
      <c r="C18" s="57">
        <v>2000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190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F31"/>
  <sheetViews>
    <sheetView zoomScaleNormal="100" workbookViewId="0">
      <selection activeCell="H14" sqref="H14"/>
    </sheetView>
  </sheetViews>
  <sheetFormatPr defaultColWidth="8.7109375" defaultRowHeight="15" x14ac:dyDescent="0.25"/>
  <cols>
    <col min="1" max="1" width="3" style="1" customWidth="1"/>
    <col min="2" max="2" width="28" style="1" customWidth="1"/>
    <col min="3" max="3" width="22" style="1" customWidth="1"/>
    <col min="4" max="4" width="22.7109375" style="1" customWidth="1"/>
    <col min="5" max="5" width="32.28515625" style="1" customWidth="1"/>
    <col min="6" max="6" width="12" style="1" customWidth="1"/>
  </cols>
  <sheetData>
    <row r="2" spans="2:5" ht="15.75" customHeight="1" x14ac:dyDescent="0.25">
      <c r="B2" s="86" t="s">
        <v>68</v>
      </c>
      <c r="C2" s="86"/>
      <c r="D2" s="86"/>
      <c r="E2" s="86"/>
    </row>
    <row r="3" spans="2:5" ht="15" customHeight="1" x14ac:dyDescent="0.25">
      <c r="B3" s="87" t="s">
        <v>70</v>
      </c>
      <c r="C3" s="87"/>
      <c r="D3" s="87"/>
      <c r="E3" s="87"/>
    </row>
    <row r="4" spans="2:5" ht="15" customHeight="1" x14ac:dyDescent="0.25">
      <c r="B4" s="87" t="s">
        <v>71</v>
      </c>
      <c r="C4" s="87"/>
      <c r="D4" s="87"/>
      <c r="E4" s="87"/>
    </row>
    <row r="6" spans="2:5" ht="15.75" customHeight="1" x14ac:dyDescent="0.25">
      <c r="B6" s="88" t="s">
        <v>151</v>
      </c>
      <c r="C6" s="88"/>
      <c r="D6" s="88"/>
      <c r="E6" s="88"/>
    </row>
    <row r="8" spans="2:5" ht="15" customHeight="1" x14ac:dyDescent="0.25">
      <c r="B8" s="48" t="s">
        <v>73</v>
      </c>
      <c r="C8" s="49" t="s">
        <v>133</v>
      </c>
      <c r="D8" s="48" t="s">
        <v>74</v>
      </c>
      <c r="E8" s="51">
        <v>46245</v>
      </c>
    </row>
    <row r="10" spans="2:5" ht="15" customHeight="1" x14ac:dyDescent="0.25">
      <c r="B10" s="84" t="s">
        <v>169</v>
      </c>
      <c r="C10" s="84"/>
      <c r="D10" s="84"/>
      <c r="E10" s="84"/>
    </row>
    <row r="11" spans="2:5" ht="15" customHeight="1" x14ac:dyDescent="0.25">
      <c r="B11" s="48" t="s">
        <v>170</v>
      </c>
      <c r="C11" s="82" t="s">
        <v>110</v>
      </c>
      <c r="D11" s="82"/>
      <c r="E11" s="82"/>
    </row>
    <row r="12" spans="2:5" ht="15" customHeight="1" x14ac:dyDescent="0.25">
      <c r="B12" s="48" t="s">
        <v>156</v>
      </c>
      <c r="C12" s="83" t="s">
        <v>171</v>
      </c>
      <c r="D12" s="83"/>
      <c r="E12" s="83"/>
    </row>
    <row r="14" spans="2:5" ht="15" customHeight="1" x14ac:dyDescent="0.25">
      <c r="B14" s="84" t="s">
        <v>81</v>
      </c>
      <c r="C14" s="84"/>
      <c r="D14" s="84"/>
      <c r="E14" s="84"/>
    </row>
    <row r="15" spans="2:5" ht="15" customHeight="1" x14ac:dyDescent="0.25">
      <c r="B15" s="53" t="s">
        <v>82</v>
      </c>
      <c r="C15" s="53" t="s">
        <v>104</v>
      </c>
      <c r="D15" s="53" t="s">
        <v>172</v>
      </c>
      <c r="E15" s="53" t="s">
        <v>158</v>
      </c>
    </row>
    <row r="16" spans="2:5" ht="15.75" customHeight="1" x14ac:dyDescent="0.25">
      <c r="B16" s="54" t="s">
        <v>134</v>
      </c>
      <c r="C16" s="55">
        <v>6000</v>
      </c>
      <c r="D16" s="54" t="s">
        <v>173</v>
      </c>
      <c r="E16" s="54" t="s">
        <v>189</v>
      </c>
    </row>
    <row r="18" spans="2:5" ht="15.75" customHeight="1" x14ac:dyDescent="0.25">
      <c r="B18" s="56" t="s">
        <v>175</v>
      </c>
      <c r="C18" s="57">
        <v>6000</v>
      </c>
    </row>
    <row r="20" spans="2:5" ht="15" customHeight="1" x14ac:dyDescent="0.25">
      <c r="B20" s="84" t="s">
        <v>160</v>
      </c>
      <c r="C20" s="84"/>
      <c r="D20" s="84"/>
      <c r="E20" s="84"/>
    </row>
    <row r="21" spans="2:5" ht="30" customHeight="1" x14ac:dyDescent="0.25">
      <c r="B21" s="85" t="s">
        <v>191</v>
      </c>
      <c r="C21" s="85"/>
      <c r="D21" s="85"/>
      <c r="E21" s="85"/>
    </row>
    <row r="22" spans="2:5" ht="9.75" customHeight="1" x14ac:dyDescent="0.25">
      <c r="B22" s="85"/>
      <c r="C22" s="85"/>
      <c r="D22" s="85"/>
      <c r="E22" s="85"/>
    </row>
    <row r="24" spans="2:5" ht="15" customHeight="1" x14ac:dyDescent="0.25">
      <c r="B24" s="48" t="s">
        <v>161</v>
      </c>
      <c r="D24" s="48" t="s">
        <v>162</v>
      </c>
    </row>
    <row r="26" spans="2:5" ht="15" customHeight="1" x14ac:dyDescent="0.25">
      <c r="B26" s="58" t="s">
        <v>94</v>
      </c>
      <c r="D26" s="58" t="s">
        <v>94</v>
      </c>
    </row>
    <row r="27" spans="2:5" ht="15" customHeight="1" x14ac:dyDescent="0.25">
      <c r="B27" s="58" t="s">
        <v>177</v>
      </c>
      <c r="D27" s="58" t="s">
        <v>178</v>
      </c>
    </row>
    <row r="28" spans="2:5" ht="15" customHeight="1" x14ac:dyDescent="0.25">
      <c r="B28" s="58" t="s">
        <v>97</v>
      </c>
      <c r="D28" s="58" t="s">
        <v>97</v>
      </c>
    </row>
    <row r="30" spans="2:5" ht="15" customHeight="1" x14ac:dyDescent="0.25">
      <c r="B30" s="80" t="s">
        <v>179</v>
      </c>
      <c r="C30" s="80"/>
      <c r="D30" s="80"/>
      <c r="E30" s="80"/>
    </row>
    <row r="31" spans="2:5" ht="15" customHeight="1" x14ac:dyDescent="0.25">
      <c r="B31" s="81" t="s">
        <v>99</v>
      </c>
      <c r="C31" s="81"/>
      <c r="D31" s="81"/>
      <c r="E31" s="81"/>
    </row>
  </sheetData>
  <mergeCells count="12">
    <mergeCell ref="B2:E2"/>
    <mergeCell ref="B3:E3"/>
    <mergeCell ref="B4:E4"/>
    <mergeCell ref="B6:E6"/>
    <mergeCell ref="B10:E10"/>
    <mergeCell ref="B30:E30"/>
    <mergeCell ref="B31:E31"/>
    <mergeCell ref="C11:E11"/>
    <mergeCell ref="C12:E12"/>
    <mergeCell ref="B14:E14"/>
    <mergeCell ref="B20:E20"/>
    <mergeCell ref="B21:E22"/>
  </mergeCells>
  <pageMargins left="0.5" right="0.5" top="0.5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14</vt:i4>
      </vt:variant>
      <vt:variant>
        <vt:lpstr>Intervalos com Nome</vt:lpstr>
      </vt:variant>
      <vt:variant>
        <vt:i4>13</vt:i4>
      </vt:variant>
    </vt:vector>
  </HeadingPairs>
  <TitlesOfParts>
    <vt:vector size="27" baseType="lpstr">
      <vt:lpstr>Registo Inscrições</vt:lpstr>
      <vt:lpstr>Recibo de Inscrição</vt:lpstr>
      <vt:lpstr>Recibos Fundo Maneio</vt:lpstr>
      <vt:lpstr>Modelo Recibo Maneio</vt:lpstr>
      <vt:lpstr>RM-001</vt:lpstr>
      <vt:lpstr>RM-002</vt:lpstr>
      <vt:lpstr>RM-003</vt:lpstr>
      <vt:lpstr>RM-004</vt:lpstr>
      <vt:lpstr>RM-005</vt:lpstr>
      <vt:lpstr>RM-006</vt:lpstr>
      <vt:lpstr>RM-007</vt:lpstr>
      <vt:lpstr>RM-008</vt:lpstr>
      <vt:lpstr>RM-009</vt:lpstr>
      <vt:lpstr>RM-010</vt:lpstr>
      <vt:lpstr>'Modelo Recibo Maneio'!Área_de_Impressão</vt:lpstr>
      <vt:lpstr>'Recibo de Inscrição'!Área_de_Impressão</vt:lpstr>
      <vt:lpstr>'RM-001'!Área_de_Impressão</vt:lpstr>
      <vt:lpstr>'RM-002'!Área_de_Impressão</vt:lpstr>
      <vt:lpstr>'RM-003'!Área_de_Impressão</vt:lpstr>
      <vt:lpstr>'RM-004'!Área_de_Impressão</vt:lpstr>
      <vt:lpstr>'RM-005'!Área_de_Impressão</vt:lpstr>
      <vt:lpstr>'RM-006'!Área_de_Impressão</vt:lpstr>
      <vt:lpstr>'RM-007'!Área_de_Impressão</vt:lpstr>
      <vt:lpstr>'RM-008'!Área_de_Impressão</vt:lpstr>
      <vt:lpstr>'RM-009'!Área_de_Impressão</vt:lpstr>
      <vt:lpstr>'RM-010'!Área_de_Impressão</vt:lpstr>
      <vt:lpstr>'Recibos Fundo Maneio'!Títulos_de_Impressão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Tânia Martins</cp:lastModifiedBy>
  <cp:revision>0</cp:revision>
  <cp:lastPrinted>2026-08-18T10:13:28Z</cp:lastPrinted>
  <dcterms:created xsi:type="dcterms:W3CDTF">2026-08-04T13:56:19Z</dcterms:created>
  <dcterms:modified xsi:type="dcterms:W3CDTF">2026-08-21T19:05:20Z</dcterms:modified>
  <dc:language>en-US</dc:language>
</cp:coreProperties>
</file>